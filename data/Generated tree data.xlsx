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chnhan011_myuct_ac_za/Documents/Honours/Compulsory modules/"/>
    </mc:Choice>
  </mc:AlternateContent>
  <xr:revisionPtr revIDLastSave="6" documentId="8_{DE58FEEC-E60C-4605-AD2F-1FCC6873412F}" xr6:coauthVersionLast="47" xr6:coauthVersionMax="47" xr10:uidLastSave="{8F24313F-9FA4-4484-AA61-BE33C7AC3472}"/>
  <bookViews>
    <workbookView xWindow="-110" yWindow="-110" windowWidth="19420" windowHeight="11500" xr2:uid="{DCD8B026-812A-4374-B397-1F35A6683D25}"/>
  </bookViews>
  <sheets>
    <sheet name="Tree data" sheetId="4" r:id="rId1"/>
    <sheet name="Species code" sheetId="2" r:id="rId2"/>
    <sheet name="Data description" sheetId="3" r:id="rId3"/>
    <sheet name=" Random Generator Forma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1" l="1" a="1"/>
  <c r="K60" i="1" s="1"/>
  <c r="J43" i="1" a="1"/>
  <c r="J43" i="1" s="1"/>
  <c r="I22" i="1" a="1"/>
  <c r="I22" i="1" s="1"/>
  <c r="H2" i="1" a="1"/>
  <c r="H2" i="1" s="1"/>
  <c r="E22" i="1" a="1"/>
  <c r="E22" i="1" s="1"/>
  <c r="D2" i="1" a="1"/>
  <c r="D2" i="1" s="1"/>
  <c r="G60" i="1" a="1"/>
  <c r="G60" i="1" s="1"/>
  <c r="F43" i="1" a="1"/>
  <c r="F43" i="1" s="1"/>
  <c r="B2" i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<sst xmlns="http://schemas.openxmlformats.org/spreadsheetml/2006/main" count="84" uniqueCount="65">
  <si>
    <t>Plot</t>
  </si>
  <si>
    <t>Year</t>
  </si>
  <si>
    <t>DBH1</t>
  </si>
  <si>
    <t>DBH2</t>
  </si>
  <si>
    <t>DBH3</t>
  </si>
  <si>
    <t>DBH4</t>
  </si>
  <si>
    <t>Species</t>
  </si>
  <si>
    <t>COND1</t>
  </si>
  <si>
    <t>COND2</t>
  </si>
  <si>
    <t>COND3</t>
  </si>
  <si>
    <t>COND4</t>
  </si>
  <si>
    <t>Scientific Name</t>
  </si>
  <si>
    <t>Cyathea capensis</t>
  </si>
  <si>
    <t xml:space="preserve">Podocarpus falcatus </t>
  </si>
  <si>
    <t xml:space="preserve">Podocarpus latifolius </t>
  </si>
  <si>
    <t xml:space="preserve">Widdringtonia nodiflora </t>
  </si>
  <si>
    <t xml:space="preserve">Strelitzia alba </t>
  </si>
  <si>
    <t xml:space="preserve">Myrica serrata </t>
  </si>
  <si>
    <t xml:space="preserve">Celtis africana </t>
  </si>
  <si>
    <t>Ficus burtt-davyi</t>
  </si>
  <si>
    <t xml:space="preserve">Ficus sur </t>
  </si>
  <si>
    <t xml:space="preserve">Faurea macnaughtonii </t>
  </si>
  <si>
    <t>Colpoon compressum</t>
  </si>
  <si>
    <t xml:space="preserve">Ocotea bullata </t>
  </si>
  <si>
    <t xml:space="preserve">Maerua racemulosa </t>
  </si>
  <si>
    <t xml:space="preserve">Pittosporum viridiflorum </t>
  </si>
  <si>
    <t xml:space="preserve">Cunonia capensis </t>
  </si>
  <si>
    <t xml:space="preserve">Platylophus trifoliatus </t>
  </si>
  <si>
    <t xml:space="preserve">Trichocladus crinitus </t>
  </si>
  <si>
    <t xml:space="preserve">Trichocladus ellipticus </t>
  </si>
  <si>
    <t xml:space="preserve">Prunus africana </t>
  </si>
  <si>
    <t>Schotia afra var. afra</t>
  </si>
  <si>
    <t xml:space="preserve">Schotia latifolia </t>
  </si>
  <si>
    <t>Virgilia oroboides subsp.ferruginea</t>
  </si>
  <si>
    <t xml:space="preserve">Virgilia divaricata </t>
  </si>
  <si>
    <t xml:space="preserve">Zanthoxylum capense </t>
  </si>
  <si>
    <t xml:space="preserve">Zanthoxylum davyi </t>
  </si>
  <si>
    <t xml:space="preserve">Calodendrum capense </t>
  </si>
  <si>
    <t xml:space="preserve">Vepris lanceolata </t>
  </si>
  <si>
    <t xml:space="preserve">Clausena anisata </t>
  </si>
  <si>
    <t xml:space="preserve">Ekebergia capensis </t>
  </si>
  <si>
    <t xml:space="preserve">Lachnostylis hirta </t>
  </si>
  <si>
    <t xml:space="preserve">Laurophyllus capensis </t>
  </si>
  <si>
    <t xml:space="preserve">Rhus chirendensis </t>
  </si>
  <si>
    <t xml:space="preserve">Rhus crenata </t>
  </si>
  <si>
    <t xml:space="preserve">Rhus glauca </t>
  </si>
  <si>
    <t xml:space="preserve">Rhus longispina </t>
  </si>
  <si>
    <t>Rhus lucida forma lucida</t>
  </si>
  <si>
    <t xml:space="preserve">Rhus tomentosa </t>
  </si>
  <si>
    <t xml:space="preserve">Rhus undulata </t>
  </si>
  <si>
    <t>Code Number</t>
  </si>
  <si>
    <t xml:space="preserve">Variable </t>
  </si>
  <si>
    <t>Description</t>
  </si>
  <si>
    <t>YEAR</t>
  </si>
  <si>
    <t>Plot establishment year</t>
  </si>
  <si>
    <t>SPECIES</t>
  </si>
  <si>
    <t>Species number code: see Tree list</t>
  </si>
  <si>
    <t>DBH at first measurement (1985) in cm</t>
  </si>
  <si>
    <t>Tree condition code first measurement - see list</t>
  </si>
  <si>
    <t>Tree condition code second measurement - see list</t>
  </si>
  <si>
    <t>DBH at second measurement (1991) in cm</t>
  </si>
  <si>
    <t>DBH at third measurement (2001) in cm</t>
  </si>
  <si>
    <t>DBH at fourth measurement (2021) in cm</t>
  </si>
  <si>
    <t>Tree condition code third measurement - see list</t>
  </si>
  <si>
    <t>Tree condition code fourth measurement - see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</si>
</sst>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7" x14ac:knownFonts="1">
    <font>
      <sz val="11"/>
      <color theme="1"/>
      <name val="Aptos Narrow"/>
      <family val="2"/>
      <scheme val="minor"/>
    </font>
    <font>
      <sz val="8"/>
      <color theme="1"/>
      <name val="Courier New"/>
      <family val="3"/>
    </font>
    <font>
      <sz val="10"/>
      <name val="Arial"/>
      <family val="2"/>
    </font>
    <font>
      <b/>
      <sz val="10"/>
      <name val="Helv"/>
    </font>
    <font>
      <i/>
      <sz val="10"/>
      <name val="Helv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top" wrapText="1"/>
    </xf>
    <xf numFmtId="0" fontId="4" fillId="0" borderId="2" xfId="1" applyFont="1" applyBorder="1" applyAlignment="1">
      <alignment wrapText="1"/>
    </xf>
    <xf numFmtId="0" fontId="5" fillId="0" borderId="3" xfId="1" applyFont="1" applyBorder="1"/>
    <xf numFmtId="0" fontId="6" fillId="0" borderId="4" xfId="0" applyFont="1" applyBorder="1" applyAlignment="1">
      <alignment horizontal="left"/>
    </xf>
    <xf numFmtId="0" fontId="0" fillId="0" borderId="5" xfId="0" applyBorder="1"/>
    <xf numFmtId="0" fontId="2" fillId="0" borderId="5" xfId="0" applyFont="1" applyBorder="1"/>
    <xf numFmtId="168" fontId="6" fillId="0" borderId="4" xfId="0" applyNumberFormat="1" applyFont="1" applyBorder="1" applyAlignment="1">
      <alignment horizontal="left"/>
    </xf>
  </cellXfs>
  <cellStyles count="2">
    <cellStyle name="Normal" xfId="0" builtinId="0"/>
    <cellStyle name="Normal 2" xfId="1" xr:uid="{EBA850DB-1F2F-4620-ACA8-387F48C65C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74CD-EC2A-49C4-857C-C609D06C3CE9}">
  <dimension ref="A1:K101"/>
  <sheetViews>
    <sheetView tabSelected="1" topLeftCell="A65" workbookViewId="0">
      <selection activeCell="N17" sqref="N17"/>
    </sheetView>
  </sheetViews>
  <sheetFormatPr defaultRowHeight="14.5" x14ac:dyDescent="0.35"/>
  <sheetData>
    <row r="1" spans="1:11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12</v>
      </c>
      <c r="C2">
        <v>1985</v>
      </c>
      <c r="D2">
        <v>42.773408581093122</v>
      </c>
      <c r="E2">
        <v>52.96614196615414</v>
      </c>
      <c r="F2">
        <v>75.208371855244337</v>
      </c>
      <c r="G2">
        <v>63.370596381812035</v>
      </c>
      <c r="H2">
        <v>77</v>
      </c>
      <c r="I2">
        <v>86</v>
      </c>
      <c r="J2">
        <v>48</v>
      </c>
      <c r="K2">
        <v>56</v>
      </c>
    </row>
    <row r="3" spans="1:11" x14ac:dyDescent="0.35">
      <c r="A3">
        <v>2</v>
      </c>
      <c r="B3">
        <v>26</v>
      </c>
      <c r="C3">
        <v>1985</v>
      </c>
      <c r="D3">
        <v>35.725645511204178</v>
      </c>
      <c r="E3">
        <v>35.124054334860162</v>
      </c>
      <c r="F3">
        <v>84.538304296466919</v>
      </c>
      <c r="G3">
        <v>74.713512881801378</v>
      </c>
      <c r="H3">
        <v>13</v>
      </c>
      <c r="I3">
        <v>66</v>
      </c>
      <c r="J3">
        <v>4</v>
      </c>
      <c r="K3">
        <v>87</v>
      </c>
    </row>
    <row r="4" spans="1:11" x14ac:dyDescent="0.35">
      <c r="A4">
        <v>3</v>
      </c>
      <c r="B4">
        <v>10</v>
      </c>
      <c r="C4">
        <v>1985</v>
      </c>
      <c r="D4">
        <v>63.151203128382051</v>
      </c>
      <c r="E4">
        <v>93.95487722956554</v>
      </c>
      <c r="F4">
        <v>40.020422744998115</v>
      </c>
      <c r="G4">
        <v>58.78696395088572</v>
      </c>
      <c r="H4">
        <v>8</v>
      </c>
      <c r="I4">
        <v>86</v>
      </c>
      <c r="J4">
        <v>75</v>
      </c>
      <c r="K4">
        <v>1</v>
      </c>
    </row>
    <row r="5" spans="1:11" x14ac:dyDescent="0.35">
      <c r="A5">
        <v>4</v>
      </c>
      <c r="B5">
        <v>15</v>
      </c>
      <c r="C5">
        <v>1985</v>
      </c>
      <c r="D5">
        <v>94.412112156871601</v>
      </c>
      <c r="E5">
        <v>65.364906671208061</v>
      </c>
      <c r="F5">
        <v>95.153536828713243</v>
      </c>
      <c r="G5">
        <v>43.896660138743187</v>
      </c>
      <c r="H5">
        <v>9</v>
      </c>
      <c r="I5">
        <v>89</v>
      </c>
      <c r="J5">
        <v>61</v>
      </c>
      <c r="K5">
        <v>60</v>
      </c>
    </row>
    <row r="6" spans="1:11" x14ac:dyDescent="0.35">
      <c r="A6">
        <v>5</v>
      </c>
      <c r="B6">
        <v>28</v>
      </c>
      <c r="C6">
        <v>1985</v>
      </c>
      <c r="D6">
        <v>64.247609187396179</v>
      </c>
      <c r="E6">
        <v>57.19602504977486</v>
      </c>
      <c r="F6">
        <v>73.892510434843771</v>
      </c>
      <c r="G6">
        <v>43.383518479571819</v>
      </c>
      <c r="H6">
        <v>50</v>
      </c>
      <c r="I6">
        <v>88</v>
      </c>
      <c r="J6">
        <v>10</v>
      </c>
      <c r="K6">
        <v>82</v>
      </c>
    </row>
    <row r="7" spans="1:11" x14ac:dyDescent="0.35">
      <c r="A7">
        <v>6</v>
      </c>
      <c r="B7">
        <v>10</v>
      </c>
      <c r="C7">
        <v>1985</v>
      </c>
      <c r="D7">
        <v>57.40308920818137</v>
      </c>
      <c r="E7">
        <v>19.61369834218921</v>
      </c>
      <c r="F7">
        <v>73.755446843939168</v>
      </c>
      <c r="G7">
        <v>30.096012672822766</v>
      </c>
      <c r="H7">
        <v>33</v>
      </c>
      <c r="I7">
        <v>0</v>
      </c>
      <c r="J7">
        <v>80</v>
      </c>
      <c r="K7">
        <v>22</v>
      </c>
    </row>
    <row r="8" spans="1:11" x14ac:dyDescent="0.35">
      <c r="A8">
        <v>7</v>
      </c>
      <c r="B8">
        <v>4</v>
      </c>
      <c r="C8">
        <v>1985</v>
      </c>
      <c r="D8">
        <v>54.862058073448395</v>
      </c>
      <c r="E8">
        <v>83.304509140077826</v>
      </c>
      <c r="F8">
        <v>21.831559051268542</v>
      </c>
      <c r="G8">
        <v>84.555610035076128</v>
      </c>
      <c r="H8">
        <v>9</v>
      </c>
      <c r="I8">
        <v>31</v>
      </c>
      <c r="J8">
        <v>39</v>
      </c>
      <c r="K8">
        <v>17</v>
      </c>
    </row>
    <row r="9" spans="1:11" x14ac:dyDescent="0.35">
      <c r="A9">
        <v>8</v>
      </c>
      <c r="B9">
        <v>25</v>
      </c>
      <c r="C9">
        <v>1985</v>
      </c>
      <c r="D9">
        <v>40.96296968924743</v>
      </c>
      <c r="E9">
        <v>61.085349468092886</v>
      </c>
      <c r="F9">
        <v>84.054252631138098</v>
      </c>
      <c r="G9">
        <v>86.093773678025116</v>
      </c>
      <c r="H9">
        <v>65</v>
      </c>
      <c r="I9">
        <v>6</v>
      </c>
      <c r="J9">
        <v>31</v>
      </c>
      <c r="K9">
        <v>30</v>
      </c>
    </row>
    <row r="10" spans="1:11" x14ac:dyDescent="0.35">
      <c r="A10">
        <v>9</v>
      </c>
      <c r="B10">
        <v>3</v>
      </c>
      <c r="C10">
        <v>1985</v>
      </c>
      <c r="D10">
        <v>92.045252261064675</v>
      </c>
      <c r="E10">
        <v>88.052731148708972</v>
      </c>
      <c r="F10">
        <v>31.650389845799225</v>
      </c>
      <c r="G10">
        <v>81.750320413555485</v>
      </c>
      <c r="H10">
        <v>33</v>
      </c>
      <c r="I10">
        <v>56</v>
      </c>
      <c r="J10">
        <v>44</v>
      </c>
      <c r="K10">
        <v>85</v>
      </c>
    </row>
    <row r="11" spans="1:11" x14ac:dyDescent="0.35">
      <c r="A11">
        <v>10</v>
      </c>
      <c r="B11">
        <v>30</v>
      </c>
      <c r="C11">
        <v>1985</v>
      </c>
      <c r="D11">
        <v>77.584741161932655</v>
      </c>
      <c r="E11">
        <v>36.725771002702743</v>
      </c>
      <c r="F11">
        <v>71.130758365919363</v>
      </c>
      <c r="G11">
        <v>87.358298609021531</v>
      </c>
      <c r="H11">
        <v>31</v>
      </c>
      <c r="I11">
        <v>54</v>
      </c>
      <c r="J11">
        <v>71</v>
      </c>
      <c r="K11">
        <v>23</v>
      </c>
    </row>
    <row r="12" spans="1:11" x14ac:dyDescent="0.35">
      <c r="A12">
        <v>11</v>
      </c>
      <c r="B12">
        <v>30</v>
      </c>
      <c r="C12">
        <v>1985</v>
      </c>
      <c r="D12">
        <v>89.809416255379219</v>
      </c>
      <c r="E12">
        <v>57.93097517442699</v>
      </c>
      <c r="F12">
        <v>26.404714223574487</v>
      </c>
      <c r="G12">
        <v>70.944998363643663</v>
      </c>
      <c r="H12">
        <v>26</v>
      </c>
      <c r="I12">
        <v>31</v>
      </c>
      <c r="J12">
        <v>77</v>
      </c>
      <c r="K12">
        <v>38</v>
      </c>
    </row>
    <row r="13" spans="1:11" x14ac:dyDescent="0.35">
      <c r="A13">
        <v>12</v>
      </c>
      <c r="B13">
        <v>9</v>
      </c>
      <c r="C13">
        <v>1985</v>
      </c>
      <c r="D13">
        <v>55.944267773419966</v>
      </c>
      <c r="E13">
        <v>26.347529410440899</v>
      </c>
      <c r="F13">
        <v>66.665056256555985</v>
      </c>
      <c r="G13">
        <v>82.239681600648396</v>
      </c>
      <c r="H13">
        <v>39</v>
      </c>
      <c r="I13">
        <v>71</v>
      </c>
      <c r="J13">
        <v>31</v>
      </c>
      <c r="K13">
        <v>57</v>
      </c>
    </row>
    <row r="14" spans="1:11" x14ac:dyDescent="0.35">
      <c r="A14">
        <v>13</v>
      </c>
      <c r="B14">
        <v>34</v>
      </c>
      <c r="C14">
        <v>1985</v>
      </c>
      <c r="D14">
        <v>27.26169962211064</v>
      </c>
      <c r="E14">
        <v>68.816375684069627</v>
      </c>
      <c r="F14">
        <v>50.960332277235224</v>
      </c>
      <c r="G14">
        <v>58.359396190587276</v>
      </c>
      <c r="H14">
        <v>6</v>
      </c>
      <c r="I14">
        <v>57</v>
      </c>
      <c r="J14">
        <v>48</v>
      </c>
      <c r="K14">
        <v>15</v>
      </c>
    </row>
    <row r="15" spans="1:11" x14ac:dyDescent="0.35">
      <c r="A15">
        <v>14</v>
      </c>
      <c r="B15">
        <v>13</v>
      </c>
      <c r="C15">
        <v>1985</v>
      </c>
      <c r="D15">
        <v>29.50164379206241</v>
      </c>
      <c r="E15">
        <v>93.428841301042965</v>
      </c>
      <c r="F15">
        <v>27.644107534225512</v>
      </c>
      <c r="G15">
        <v>74.082959363681454</v>
      </c>
      <c r="H15">
        <v>84</v>
      </c>
      <c r="I15">
        <v>0</v>
      </c>
      <c r="J15">
        <v>2</v>
      </c>
      <c r="K15">
        <v>32</v>
      </c>
    </row>
    <row r="16" spans="1:11" x14ac:dyDescent="0.35">
      <c r="A16">
        <v>15</v>
      </c>
      <c r="B16">
        <v>32</v>
      </c>
      <c r="C16">
        <v>1985</v>
      </c>
      <c r="D16">
        <v>27.556446773461147</v>
      </c>
      <c r="E16">
        <v>35.053987329600076</v>
      </c>
      <c r="F16">
        <v>40.182742119556323</v>
      </c>
      <c r="G16">
        <v>28.506724039729306</v>
      </c>
      <c r="H16">
        <v>0</v>
      </c>
      <c r="I16">
        <v>10</v>
      </c>
      <c r="J16">
        <v>1</v>
      </c>
      <c r="K16">
        <v>5</v>
      </c>
    </row>
    <row r="17" spans="1:11" x14ac:dyDescent="0.35">
      <c r="A17">
        <v>16</v>
      </c>
      <c r="B17">
        <v>8</v>
      </c>
      <c r="C17">
        <v>1985</v>
      </c>
      <c r="D17">
        <v>12.743693974289741</v>
      </c>
      <c r="E17">
        <v>39.649966034548129</v>
      </c>
      <c r="F17">
        <v>45.133801568600305</v>
      </c>
      <c r="G17">
        <v>84.785799554887191</v>
      </c>
      <c r="H17">
        <v>4</v>
      </c>
      <c r="I17">
        <v>16</v>
      </c>
      <c r="J17">
        <v>59</v>
      </c>
      <c r="K17">
        <v>38</v>
      </c>
    </row>
    <row r="18" spans="1:11" x14ac:dyDescent="0.35">
      <c r="A18">
        <v>17</v>
      </c>
      <c r="B18">
        <v>19</v>
      </c>
      <c r="C18">
        <v>1985</v>
      </c>
      <c r="D18">
        <v>67.081941108263635</v>
      </c>
      <c r="E18">
        <v>44.16623192641309</v>
      </c>
      <c r="F18">
        <v>51.181673843699784</v>
      </c>
      <c r="G18">
        <v>42.677303816075877</v>
      </c>
      <c r="H18">
        <v>30</v>
      </c>
      <c r="I18">
        <v>29</v>
      </c>
      <c r="J18">
        <v>79</v>
      </c>
      <c r="K18">
        <v>62</v>
      </c>
    </row>
    <row r="19" spans="1:11" x14ac:dyDescent="0.35">
      <c r="A19">
        <v>18</v>
      </c>
      <c r="B19">
        <v>19</v>
      </c>
      <c r="C19">
        <v>1985</v>
      </c>
      <c r="D19">
        <v>54.575228261868631</v>
      </c>
      <c r="E19">
        <v>21.095853629211888</v>
      </c>
      <c r="F19">
        <v>86.086244830191376</v>
      </c>
      <c r="G19">
        <v>24.926758358272238</v>
      </c>
      <c r="H19">
        <v>1</v>
      </c>
      <c r="I19">
        <v>48</v>
      </c>
      <c r="J19">
        <v>18</v>
      </c>
      <c r="K19">
        <v>2</v>
      </c>
    </row>
    <row r="20" spans="1:11" x14ac:dyDescent="0.35">
      <c r="A20">
        <v>19</v>
      </c>
      <c r="B20">
        <v>17</v>
      </c>
      <c r="C20">
        <v>1985</v>
      </c>
      <c r="D20">
        <v>46.696666895717001</v>
      </c>
      <c r="E20">
        <v>91.837476877202519</v>
      </c>
      <c r="F20">
        <v>54.455496590414498</v>
      </c>
      <c r="G20">
        <v>28.187213841588786</v>
      </c>
      <c r="H20">
        <v>78</v>
      </c>
      <c r="I20">
        <v>16</v>
      </c>
      <c r="J20">
        <v>62</v>
      </c>
      <c r="K20">
        <v>77</v>
      </c>
    </row>
    <row r="21" spans="1:11" x14ac:dyDescent="0.35">
      <c r="A21">
        <v>20</v>
      </c>
      <c r="B21">
        <v>27</v>
      </c>
      <c r="C21">
        <v>1985</v>
      </c>
      <c r="D21">
        <v>76.031023594871982</v>
      </c>
      <c r="E21">
        <v>45.891372873978369</v>
      </c>
      <c r="F21">
        <v>61.276988258218722</v>
      </c>
      <c r="G21">
        <v>82.187946557683844</v>
      </c>
      <c r="H21">
        <v>17</v>
      </c>
      <c r="I21">
        <v>79</v>
      </c>
      <c r="J21">
        <v>70</v>
      </c>
      <c r="K21">
        <v>73</v>
      </c>
    </row>
    <row r="22" spans="1:11" x14ac:dyDescent="0.35">
      <c r="A22">
        <v>21</v>
      </c>
      <c r="B22">
        <v>16</v>
      </c>
      <c r="C22">
        <v>1991</v>
      </c>
      <c r="E22">
        <v>87.106272599425282</v>
      </c>
      <c r="F22">
        <v>32.568093152371034</v>
      </c>
      <c r="G22">
        <v>35.413088941237106</v>
      </c>
      <c r="I22">
        <v>74</v>
      </c>
      <c r="J22">
        <v>86</v>
      </c>
      <c r="K22">
        <v>28</v>
      </c>
    </row>
    <row r="23" spans="1:11" x14ac:dyDescent="0.35">
      <c r="A23">
        <v>22</v>
      </c>
      <c r="B23">
        <v>18</v>
      </c>
      <c r="C23">
        <v>1991</v>
      </c>
      <c r="E23">
        <v>26.035692765656393</v>
      </c>
      <c r="F23">
        <v>96.537998461485245</v>
      </c>
      <c r="G23">
        <v>45.490214839941842</v>
      </c>
      <c r="I23">
        <v>3</v>
      </c>
      <c r="J23">
        <v>20</v>
      </c>
      <c r="K23">
        <v>9</v>
      </c>
    </row>
    <row r="24" spans="1:11" x14ac:dyDescent="0.35">
      <c r="A24">
        <v>23</v>
      </c>
      <c r="B24">
        <v>2</v>
      </c>
      <c r="C24">
        <v>1991</v>
      </c>
      <c r="E24">
        <v>76.003230056019021</v>
      </c>
      <c r="F24">
        <v>18.447858959813431</v>
      </c>
      <c r="G24">
        <v>85.565586311302894</v>
      </c>
      <c r="I24">
        <v>41</v>
      </c>
      <c r="J24">
        <v>21</v>
      </c>
      <c r="K24">
        <v>28</v>
      </c>
    </row>
    <row r="25" spans="1:11" x14ac:dyDescent="0.35">
      <c r="A25">
        <v>24</v>
      </c>
      <c r="B25">
        <v>9</v>
      </c>
      <c r="C25">
        <v>1991</v>
      </c>
      <c r="E25">
        <v>22.266905046654173</v>
      </c>
      <c r="F25">
        <v>41.012106199570098</v>
      </c>
      <c r="G25">
        <v>69.486888928710968</v>
      </c>
      <c r="I25">
        <v>63</v>
      </c>
      <c r="J25">
        <v>40</v>
      </c>
      <c r="K25">
        <v>58</v>
      </c>
    </row>
    <row r="26" spans="1:11" x14ac:dyDescent="0.35">
      <c r="A26">
        <v>25</v>
      </c>
      <c r="B26">
        <v>8</v>
      </c>
      <c r="C26">
        <v>1991</v>
      </c>
      <c r="E26">
        <v>24.048900361318076</v>
      </c>
      <c r="F26">
        <v>42.483458706144546</v>
      </c>
      <c r="G26">
        <v>84.114486575603607</v>
      </c>
      <c r="I26">
        <v>9</v>
      </c>
      <c r="J26">
        <v>19</v>
      </c>
      <c r="K26">
        <v>57</v>
      </c>
    </row>
    <row r="27" spans="1:11" x14ac:dyDescent="0.35">
      <c r="A27">
        <v>26</v>
      </c>
      <c r="B27">
        <v>22</v>
      </c>
      <c r="C27">
        <v>1991</v>
      </c>
      <c r="E27">
        <v>65.531552914582292</v>
      </c>
      <c r="F27">
        <v>10.982441279998497</v>
      </c>
      <c r="G27">
        <v>62.184853824165515</v>
      </c>
      <c r="I27">
        <v>73</v>
      </c>
      <c r="J27">
        <v>22</v>
      </c>
      <c r="K27">
        <v>65</v>
      </c>
    </row>
    <row r="28" spans="1:11" x14ac:dyDescent="0.35">
      <c r="A28">
        <v>27</v>
      </c>
      <c r="B28">
        <v>12</v>
      </c>
      <c r="C28">
        <v>1991</v>
      </c>
      <c r="E28">
        <v>91.405711143108533</v>
      </c>
      <c r="F28">
        <v>72.239334588873675</v>
      </c>
      <c r="G28">
        <v>48.826789473436151</v>
      </c>
      <c r="I28">
        <v>60</v>
      </c>
      <c r="J28">
        <v>13</v>
      </c>
      <c r="K28">
        <v>35</v>
      </c>
    </row>
    <row r="29" spans="1:11" x14ac:dyDescent="0.35">
      <c r="A29">
        <v>28</v>
      </c>
      <c r="B29">
        <v>18</v>
      </c>
      <c r="C29">
        <v>1991</v>
      </c>
      <c r="E29">
        <v>54.639165641163828</v>
      </c>
      <c r="F29">
        <v>88.749559860032761</v>
      </c>
      <c r="G29">
        <v>24.599734696546392</v>
      </c>
      <c r="I29">
        <v>87</v>
      </c>
      <c r="J29">
        <v>34</v>
      </c>
      <c r="K29">
        <v>36</v>
      </c>
    </row>
    <row r="30" spans="1:11" x14ac:dyDescent="0.35">
      <c r="A30">
        <v>29</v>
      </c>
      <c r="B30">
        <v>29</v>
      </c>
      <c r="C30">
        <v>1991</v>
      </c>
      <c r="E30">
        <v>49.744145867797101</v>
      </c>
      <c r="F30">
        <v>14.729972391768442</v>
      </c>
      <c r="G30">
        <v>45.324718442796652</v>
      </c>
      <c r="I30">
        <v>87</v>
      </c>
      <c r="J30">
        <v>27</v>
      </c>
      <c r="K30">
        <v>12</v>
      </c>
    </row>
    <row r="31" spans="1:11" x14ac:dyDescent="0.35">
      <c r="A31">
        <v>30</v>
      </c>
      <c r="B31">
        <v>7</v>
      </c>
      <c r="C31">
        <v>1991</v>
      </c>
      <c r="E31">
        <v>93.923132992160731</v>
      </c>
      <c r="F31">
        <v>89.683236380083713</v>
      </c>
      <c r="G31">
        <v>34.311533901041685</v>
      </c>
      <c r="I31">
        <v>7</v>
      </c>
      <c r="J31">
        <v>83</v>
      </c>
      <c r="K31">
        <v>30</v>
      </c>
    </row>
    <row r="32" spans="1:11" x14ac:dyDescent="0.35">
      <c r="A32">
        <v>31</v>
      </c>
      <c r="B32">
        <v>28</v>
      </c>
      <c r="C32">
        <v>1991</v>
      </c>
      <c r="E32">
        <v>80.203329327001839</v>
      </c>
      <c r="F32">
        <v>86.58385525870213</v>
      </c>
      <c r="G32">
        <v>88.740954984053204</v>
      </c>
      <c r="I32">
        <v>74</v>
      </c>
      <c r="J32">
        <v>10</v>
      </c>
      <c r="K32">
        <v>35</v>
      </c>
    </row>
    <row r="33" spans="1:11" x14ac:dyDescent="0.35">
      <c r="A33">
        <v>32</v>
      </c>
      <c r="B33">
        <v>3</v>
      </c>
      <c r="C33">
        <v>1991</v>
      </c>
      <c r="E33">
        <v>26.310220211090922</v>
      </c>
      <c r="F33">
        <v>17.532166718929318</v>
      </c>
      <c r="G33">
        <v>29.42258785895919</v>
      </c>
      <c r="I33">
        <v>74</v>
      </c>
      <c r="J33">
        <v>2</v>
      </c>
      <c r="K33">
        <v>2</v>
      </c>
    </row>
    <row r="34" spans="1:11" x14ac:dyDescent="0.35">
      <c r="A34">
        <v>33</v>
      </c>
      <c r="B34">
        <v>28</v>
      </c>
      <c r="C34">
        <v>1991</v>
      </c>
      <c r="E34">
        <v>95.871018333904601</v>
      </c>
      <c r="F34">
        <v>30.294182124214359</v>
      </c>
      <c r="G34">
        <v>92.599735123392733</v>
      </c>
      <c r="I34">
        <v>22</v>
      </c>
      <c r="J34">
        <v>48</v>
      </c>
      <c r="K34">
        <v>55</v>
      </c>
    </row>
    <row r="35" spans="1:11" x14ac:dyDescent="0.35">
      <c r="A35">
        <v>34</v>
      </c>
      <c r="B35">
        <v>4</v>
      </c>
      <c r="C35">
        <v>1991</v>
      </c>
      <c r="E35">
        <v>33.598485650327319</v>
      </c>
      <c r="F35">
        <v>19.785844747095382</v>
      </c>
      <c r="G35">
        <v>41.105221128920419</v>
      </c>
      <c r="I35">
        <v>63</v>
      </c>
      <c r="J35">
        <v>16</v>
      </c>
      <c r="K35">
        <v>54</v>
      </c>
    </row>
    <row r="36" spans="1:11" x14ac:dyDescent="0.35">
      <c r="A36">
        <v>35</v>
      </c>
      <c r="B36">
        <v>29</v>
      </c>
      <c r="C36">
        <v>1991</v>
      </c>
      <c r="E36">
        <v>34.645744839934849</v>
      </c>
      <c r="F36">
        <v>15.429868007757989</v>
      </c>
      <c r="G36">
        <v>96.766444434802892</v>
      </c>
      <c r="I36">
        <v>72</v>
      </c>
      <c r="J36">
        <v>29</v>
      </c>
      <c r="K36">
        <v>48</v>
      </c>
    </row>
    <row r="37" spans="1:11" x14ac:dyDescent="0.35">
      <c r="A37">
        <v>36</v>
      </c>
      <c r="B37">
        <v>12</v>
      </c>
      <c r="C37">
        <v>1991</v>
      </c>
      <c r="E37">
        <v>21.277206689558568</v>
      </c>
      <c r="F37">
        <v>41.134553778336311</v>
      </c>
      <c r="G37">
        <v>82.269725296261242</v>
      </c>
      <c r="I37">
        <v>31</v>
      </c>
      <c r="J37">
        <v>79</v>
      </c>
      <c r="K37">
        <v>32</v>
      </c>
    </row>
    <row r="38" spans="1:11" x14ac:dyDescent="0.35">
      <c r="A38">
        <v>37</v>
      </c>
      <c r="B38">
        <v>18</v>
      </c>
      <c r="C38">
        <v>1991</v>
      </c>
      <c r="E38">
        <v>94.209689201722128</v>
      </c>
      <c r="F38">
        <v>73.733659575718249</v>
      </c>
      <c r="G38">
        <v>27.876957701568372</v>
      </c>
      <c r="I38">
        <v>4</v>
      </c>
      <c r="J38">
        <v>87</v>
      </c>
      <c r="K38">
        <v>51</v>
      </c>
    </row>
    <row r="39" spans="1:11" x14ac:dyDescent="0.35">
      <c r="A39">
        <v>38</v>
      </c>
      <c r="B39">
        <v>29</v>
      </c>
      <c r="C39">
        <v>1991</v>
      </c>
      <c r="E39">
        <v>45.034445398112155</v>
      </c>
      <c r="F39">
        <v>57.581943239138468</v>
      </c>
      <c r="G39">
        <v>82.170344272262341</v>
      </c>
      <c r="I39">
        <v>64</v>
      </c>
      <c r="J39">
        <v>6</v>
      </c>
      <c r="K39">
        <v>11</v>
      </c>
    </row>
    <row r="40" spans="1:11" x14ac:dyDescent="0.35">
      <c r="A40">
        <v>39</v>
      </c>
      <c r="B40">
        <v>34</v>
      </c>
      <c r="C40">
        <v>1991</v>
      </c>
      <c r="E40">
        <v>27.389142095048371</v>
      </c>
      <c r="F40">
        <v>59.149632031150574</v>
      </c>
      <c r="G40">
        <v>20.252028278900596</v>
      </c>
      <c r="I40">
        <v>20</v>
      </c>
      <c r="J40">
        <v>6</v>
      </c>
      <c r="K40">
        <v>65</v>
      </c>
    </row>
    <row r="41" spans="1:11" x14ac:dyDescent="0.35">
      <c r="A41">
        <v>40</v>
      </c>
      <c r="B41">
        <v>15</v>
      </c>
      <c r="C41">
        <v>1991</v>
      </c>
      <c r="E41">
        <v>53.226172281211902</v>
      </c>
      <c r="F41">
        <v>42.81049711912037</v>
      </c>
      <c r="G41">
        <v>65.644795977945947</v>
      </c>
      <c r="I41">
        <v>5</v>
      </c>
      <c r="J41">
        <v>71</v>
      </c>
      <c r="K41">
        <v>69</v>
      </c>
    </row>
    <row r="42" spans="1:11" x14ac:dyDescent="0.35">
      <c r="A42">
        <v>41</v>
      </c>
      <c r="B42">
        <v>25</v>
      </c>
      <c r="C42">
        <v>1991</v>
      </c>
      <c r="E42">
        <v>75.370979288745119</v>
      </c>
      <c r="F42">
        <v>45.637378644416117</v>
      </c>
      <c r="G42">
        <v>27.14569369348925</v>
      </c>
      <c r="I42">
        <v>62</v>
      </c>
      <c r="J42">
        <v>82</v>
      </c>
      <c r="K42">
        <v>31</v>
      </c>
    </row>
    <row r="43" spans="1:11" x14ac:dyDescent="0.35">
      <c r="A43">
        <v>42</v>
      </c>
      <c r="B43">
        <v>2</v>
      </c>
      <c r="C43">
        <v>2001</v>
      </c>
      <c r="F43">
        <v>46.317768528344246</v>
      </c>
      <c r="G43">
        <v>14.769721656910036</v>
      </c>
      <c r="J43">
        <v>68</v>
      </c>
      <c r="K43">
        <v>51</v>
      </c>
    </row>
    <row r="44" spans="1:11" x14ac:dyDescent="0.35">
      <c r="A44">
        <v>43</v>
      </c>
      <c r="B44">
        <v>9</v>
      </c>
      <c r="C44">
        <v>2001</v>
      </c>
      <c r="F44">
        <v>77.311831548877379</v>
      </c>
      <c r="G44">
        <v>16.916384898232849</v>
      </c>
      <c r="J44">
        <v>51</v>
      </c>
      <c r="K44">
        <v>87</v>
      </c>
    </row>
    <row r="45" spans="1:11" x14ac:dyDescent="0.35">
      <c r="A45">
        <v>44</v>
      </c>
      <c r="B45">
        <v>13</v>
      </c>
      <c r="C45">
        <v>2001</v>
      </c>
      <c r="F45">
        <v>48.15910460918353</v>
      </c>
      <c r="G45">
        <v>91.770799407183929</v>
      </c>
      <c r="J45">
        <v>35</v>
      </c>
      <c r="K45">
        <v>33</v>
      </c>
    </row>
    <row r="46" spans="1:11" x14ac:dyDescent="0.35">
      <c r="A46">
        <v>45</v>
      </c>
      <c r="B46">
        <v>13</v>
      </c>
      <c r="C46">
        <v>2001</v>
      </c>
      <c r="F46">
        <v>94.932245662634315</v>
      </c>
      <c r="G46">
        <v>30.036217269245711</v>
      </c>
      <c r="J46">
        <v>63</v>
      </c>
      <c r="K46">
        <v>85</v>
      </c>
    </row>
    <row r="47" spans="1:11" x14ac:dyDescent="0.35">
      <c r="A47">
        <v>46</v>
      </c>
      <c r="B47">
        <v>16</v>
      </c>
      <c r="C47">
        <v>2001</v>
      </c>
      <c r="F47">
        <v>84.082383253020112</v>
      </c>
      <c r="G47">
        <v>94.836173903986932</v>
      </c>
      <c r="J47">
        <v>84</v>
      </c>
      <c r="K47">
        <v>6</v>
      </c>
    </row>
    <row r="48" spans="1:11" x14ac:dyDescent="0.35">
      <c r="A48">
        <v>47</v>
      </c>
      <c r="B48">
        <v>31</v>
      </c>
      <c r="C48">
        <v>2001</v>
      </c>
      <c r="F48">
        <v>22.04957269591398</v>
      </c>
      <c r="G48">
        <v>92.55221083097949</v>
      </c>
      <c r="J48">
        <v>17</v>
      </c>
      <c r="K48">
        <v>73</v>
      </c>
    </row>
    <row r="49" spans="1:11" x14ac:dyDescent="0.35">
      <c r="A49">
        <v>48</v>
      </c>
      <c r="B49">
        <v>33</v>
      </c>
      <c r="C49">
        <v>2001</v>
      </c>
      <c r="F49">
        <v>61.796538764325518</v>
      </c>
      <c r="G49">
        <v>24.599028789915963</v>
      </c>
      <c r="J49">
        <v>44</v>
      </c>
      <c r="K49">
        <v>46</v>
      </c>
    </row>
    <row r="50" spans="1:11" x14ac:dyDescent="0.35">
      <c r="A50">
        <v>49</v>
      </c>
      <c r="B50">
        <v>26</v>
      </c>
      <c r="C50">
        <v>2001</v>
      </c>
      <c r="F50">
        <v>62.52202769224705</v>
      </c>
      <c r="G50">
        <v>91.16130084333534</v>
      </c>
      <c r="J50">
        <v>45</v>
      </c>
      <c r="K50">
        <v>56</v>
      </c>
    </row>
    <row r="51" spans="1:11" x14ac:dyDescent="0.35">
      <c r="A51">
        <v>50</v>
      </c>
      <c r="B51">
        <v>23</v>
      </c>
      <c r="C51">
        <v>2001</v>
      </c>
      <c r="F51">
        <v>80.514264477977747</v>
      </c>
      <c r="G51">
        <v>54.671608548733815</v>
      </c>
      <c r="J51">
        <v>74</v>
      </c>
      <c r="K51">
        <v>17</v>
      </c>
    </row>
    <row r="52" spans="1:11" x14ac:dyDescent="0.35">
      <c r="A52">
        <v>51</v>
      </c>
      <c r="B52">
        <v>1</v>
      </c>
      <c r="C52">
        <v>2001</v>
      </c>
      <c r="F52">
        <v>81.587559358224581</v>
      </c>
      <c r="G52">
        <v>34.633161850012613</v>
      </c>
      <c r="J52">
        <v>25</v>
      </c>
      <c r="K52">
        <v>83</v>
      </c>
    </row>
    <row r="53" spans="1:11" x14ac:dyDescent="0.35">
      <c r="A53">
        <v>52</v>
      </c>
      <c r="B53">
        <v>14</v>
      </c>
      <c r="C53">
        <v>2001</v>
      </c>
      <c r="F53">
        <v>24.140974635333876</v>
      </c>
      <c r="G53">
        <v>17.833432418686598</v>
      </c>
      <c r="J53">
        <v>45</v>
      </c>
      <c r="K53">
        <v>38</v>
      </c>
    </row>
    <row r="54" spans="1:11" x14ac:dyDescent="0.35">
      <c r="A54">
        <v>53</v>
      </c>
      <c r="B54">
        <v>15</v>
      </c>
      <c r="C54">
        <v>2001</v>
      </c>
      <c r="F54">
        <v>28.112478405809853</v>
      </c>
      <c r="G54">
        <v>83.691211512063575</v>
      </c>
      <c r="J54">
        <v>16</v>
      </c>
      <c r="K54">
        <v>35</v>
      </c>
    </row>
    <row r="55" spans="1:11" x14ac:dyDescent="0.35">
      <c r="A55">
        <v>54</v>
      </c>
      <c r="B55">
        <v>5</v>
      </c>
      <c r="C55">
        <v>2001</v>
      </c>
      <c r="F55">
        <v>91.055400115253718</v>
      </c>
      <c r="G55">
        <v>72.387213571523418</v>
      </c>
      <c r="J55">
        <v>80</v>
      </c>
      <c r="K55">
        <v>78</v>
      </c>
    </row>
    <row r="56" spans="1:11" x14ac:dyDescent="0.35">
      <c r="A56">
        <v>55</v>
      </c>
      <c r="B56">
        <v>21</v>
      </c>
      <c r="C56">
        <v>2001</v>
      </c>
      <c r="F56">
        <v>96.129872276066934</v>
      </c>
      <c r="G56">
        <v>73.457806600575609</v>
      </c>
      <c r="J56">
        <v>33</v>
      </c>
      <c r="K56">
        <v>11</v>
      </c>
    </row>
    <row r="57" spans="1:11" x14ac:dyDescent="0.35">
      <c r="A57">
        <v>56</v>
      </c>
      <c r="B57">
        <v>21</v>
      </c>
      <c r="C57">
        <v>2001</v>
      </c>
      <c r="F57">
        <v>91.292409003732047</v>
      </c>
      <c r="G57">
        <v>73.456103064121422</v>
      </c>
      <c r="J57">
        <v>39</v>
      </c>
      <c r="K57">
        <v>82</v>
      </c>
    </row>
    <row r="58" spans="1:11" x14ac:dyDescent="0.35">
      <c r="A58">
        <v>57</v>
      </c>
      <c r="B58">
        <v>24</v>
      </c>
      <c r="C58">
        <v>2001</v>
      </c>
      <c r="F58">
        <v>15.586398880568083</v>
      </c>
      <c r="G58">
        <v>33.45120077025031</v>
      </c>
      <c r="J58">
        <v>18</v>
      </c>
      <c r="K58">
        <v>42</v>
      </c>
    </row>
    <row r="59" spans="1:11" x14ac:dyDescent="0.35">
      <c r="A59">
        <v>58</v>
      </c>
      <c r="B59">
        <v>20</v>
      </c>
      <c r="C59">
        <v>2001</v>
      </c>
      <c r="F59">
        <v>25.269921458885364</v>
      </c>
      <c r="G59">
        <v>78.976374634128277</v>
      </c>
      <c r="J59">
        <v>46</v>
      </c>
      <c r="K59">
        <v>68</v>
      </c>
    </row>
    <row r="60" spans="1:11" x14ac:dyDescent="0.35">
      <c r="A60">
        <v>59</v>
      </c>
      <c r="B60">
        <v>10</v>
      </c>
      <c r="C60">
        <v>2021</v>
      </c>
      <c r="G60">
        <v>51.720681517856576</v>
      </c>
      <c r="K60">
        <v>52</v>
      </c>
    </row>
    <row r="61" spans="1:11" x14ac:dyDescent="0.35">
      <c r="A61">
        <v>60</v>
      </c>
      <c r="B61">
        <v>28</v>
      </c>
      <c r="C61">
        <v>2021</v>
      </c>
      <c r="G61">
        <v>14.023127341991611</v>
      </c>
      <c r="K61">
        <v>90</v>
      </c>
    </row>
    <row r="62" spans="1:11" x14ac:dyDescent="0.35">
      <c r="A62">
        <v>61</v>
      </c>
      <c r="B62">
        <v>30</v>
      </c>
      <c r="C62">
        <v>2021</v>
      </c>
      <c r="G62">
        <v>58.757875745110397</v>
      </c>
      <c r="K62">
        <v>72</v>
      </c>
    </row>
    <row r="63" spans="1:11" x14ac:dyDescent="0.35">
      <c r="A63">
        <v>62</v>
      </c>
      <c r="B63">
        <v>6</v>
      </c>
      <c r="C63">
        <v>2021</v>
      </c>
      <c r="G63">
        <v>72.484577667067882</v>
      </c>
      <c r="K63">
        <v>54</v>
      </c>
    </row>
    <row r="64" spans="1:11" x14ac:dyDescent="0.35">
      <c r="A64">
        <v>63</v>
      </c>
      <c r="B64">
        <v>34</v>
      </c>
      <c r="C64">
        <v>2021</v>
      </c>
      <c r="G64">
        <v>28.660883548808442</v>
      </c>
      <c r="K64">
        <v>59</v>
      </c>
    </row>
    <row r="65" spans="1:11" x14ac:dyDescent="0.35">
      <c r="A65">
        <v>64</v>
      </c>
      <c r="B65">
        <v>6</v>
      </c>
      <c r="C65">
        <v>2021</v>
      </c>
      <c r="G65">
        <v>88.976817785469876</v>
      </c>
      <c r="K65">
        <v>23</v>
      </c>
    </row>
    <row r="66" spans="1:11" x14ac:dyDescent="0.35">
      <c r="A66">
        <v>65</v>
      </c>
      <c r="B66">
        <v>2</v>
      </c>
      <c r="C66">
        <v>2021</v>
      </c>
      <c r="G66">
        <v>51.035766094305629</v>
      </c>
      <c r="K66">
        <v>48</v>
      </c>
    </row>
    <row r="67" spans="1:11" x14ac:dyDescent="0.35">
      <c r="A67">
        <v>66</v>
      </c>
      <c r="B67">
        <v>23</v>
      </c>
      <c r="C67">
        <v>2021</v>
      </c>
      <c r="G67">
        <v>50.447917957653559</v>
      </c>
      <c r="K67">
        <v>26</v>
      </c>
    </row>
    <row r="68" spans="1:11" x14ac:dyDescent="0.35">
      <c r="A68">
        <v>67</v>
      </c>
      <c r="B68">
        <v>29</v>
      </c>
      <c r="C68">
        <v>2021</v>
      </c>
      <c r="G68">
        <v>54.296607270423124</v>
      </c>
      <c r="K68">
        <v>86</v>
      </c>
    </row>
    <row r="69" spans="1:11" x14ac:dyDescent="0.35">
      <c r="A69">
        <v>68</v>
      </c>
      <c r="B69">
        <v>23</v>
      </c>
      <c r="C69">
        <v>2021</v>
      </c>
      <c r="G69">
        <v>63.343116352068748</v>
      </c>
      <c r="K69">
        <v>42</v>
      </c>
    </row>
    <row r="70" spans="1:11" x14ac:dyDescent="0.35">
      <c r="A70">
        <v>69</v>
      </c>
      <c r="B70">
        <v>28</v>
      </c>
      <c r="C70">
        <v>2021</v>
      </c>
      <c r="G70">
        <v>62.102625815515111</v>
      </c>
      <c r="K70">
        <v>37</v>
      </c>
    </row>
    <row r="71" spans="1:11" x14ac:dyDescent="0.35">
      <c r="A71">
        <v>70</v>
      </c>
      <c r="B71">
        <v>6</v>
      </c>
      <c r="C71">
        <v>2021</v>
      </c>
      <c r="G71">
        <v>86.901255600784324</v>
      </c>
      <c r="K71">
        <v>6</v>
      </c>
    </row>
    <row r="72" spans="1:11" x14ac:dyDescent="0.35">
      <c r="A72">
        <v>71</v>
      </c>
      <c r="B72">
        <v>35</v>
      </c>
      <c r="C72">
        <v>2021</v>
      </c>
      <c r="G72">
        <v>45.662104985690689</v>
      </c>
      <c r="K72">
        <v>9</v>
      </c>
    </row>
    <row r="73" spans="1:11" x14ac:dyDescent="0.35">
      <c r="A73">
        <v>72</v>
      </c>
      <c r="B73">
        <v>17</v>
      </c>
      <c r="C73">
        <v>2021</v>
      </c>
      <c r="G73">
        <v>36.202017862768898</v>
      </c>
      <c r="K73">
        <v>49</v>
      </c>
    </row>
    <row r="74" spans="1:11" x14ac:dyDescent="0.35">
      <c r="A74">
        <v>73</v>
      </c>
      <c r="B74">
        <v>6</v>
      </c>
      <c r="C74">
        <v>2021</v>
      </c>
      <c r="G74">
        <v>25.783987330707717</v>
      </c>
      <c r="K74">
        <v>89</v>
      </c>
    </row>
    <row r="75" spans="1:11" x14ac:dyDescent="0.35">
      <c r="A75">
        <v>74</v>
      </c>
      <c r="B75">
        <v>1</v>
      </c>
      <c r="C75">
        <v>2021</v>
      </c>
      <c r="G75">
        <v>89.973850662410356</v>
      </c>
      <c r="K75">
        <v>6</v>
      </c>
    </row>
    <row r="76" spans="1:11" x14ac:dyDescent="0.35">
      <c r="A76">
        <v>75</v>
      </c>
      <c r="B76">
        <v>3</v>
      </c>
      <c r="C76">
        <v>2021</v>
      </c>
      <c r="G76">
        <v>18.337313832090359</v>
      </c>
      <c r="K76">
        <v>36</v>
      </c>
    </row>
    <row r="77" spans="1:11" x14ac:dyDescent="0.35">
      <c r="A77">
        <v>76</v>
      </c>
      <c r="B77">
        <v>12</v>
      </c>
      <c r="C77">
        <v>2021</v>
      </c>
      <c r="G77">
        <v>42.852934513546458</v>
      </c>
      <c r="K77">
        <v>66</v>
      </c>
    </row>
    <row r="78" spans="1:11" x14ac:dyDescent="0.35">
      <c r="A78">
        <v>77</v>
      </c>
      <c r="B78">
        <v>32</v>
      </c>
      <c r="C78">
        <v>2021</v>
      </c>
      <c r="G78">
        <v>60.474542619356725</v>
      </c>
      <c r="K78">
        <v>39</v>
      </c>
    </row>
    <row r="79" spans="1:11" x14ac:dyDescent="0.35">
      <c r="A79">
        <v>78</v>
      </c>
      <c r="B79">
        <v>11</v>
      </c>
      <c r="C79">
        <v>2021</v>
      </c>
      <c r="G79">
        <v>36.298560295110931</v>
      </c>
      <c r="K79">
        <v>31</v>
      </c>
    </row>
    <row r="80" spans="1:11" x14ac:dyDescent="0.35">
      <c r="A80">
        <v>79</v>
      </c>
      <c r="B80">
        <v>24</v>
      </c>
      <c r="C80">
        <v>2021</v>
      </c>
      <c r="G80">
        <v>63.195048253783924</v>
      </c>
      <c r="K80">
        <v>83</v>
      </c>
    </row>
    <row r="81" spans="1:11" x14ac:dyDescent="0.35">
      <c r="A81">
        <v>80</v>
      </c>
      <c r="B81">
        <v>16</v>
      </c>
      <c r="C81">
        <v>2021</v>
      </c>
      <c r="G81">
        <v>88.822461188712907</v>
      </c>
      <c r="K81">
        <v>59</v>
      </c>
    </row>
    <row r="82" spans="1:11" x14ac:dyDescent="0.35">
      <c r="A82">
        <v>81</v>
      </c>
      <c r="B82">
        <v>30</v>
      </c>
      <c r="C82">
        <v>2021</v>
      </c>
      <c r="G82">
        <v>81.261451630511843</v>
      </c>
      <c r="K82">
        <v>85</v>
      </c>
    </row>
    <row r="83" spans="1:11" x14ac:dyDescent="0.35">
      <c r="A83">
        <v>82</v>
      </c>
      <c r="B83">
        <v>5</v>
      </c>
      <c r="C83">
        <v>2021</v>
      </c>
      <c r="G83">
        <v>42.903985539624429</v>
      </c>
      <c r="K83">
        <v>72</v>
      </c>
    </row>
    <row r="84" spans="1:11" x14ac:dyDescent="0.35">
      <c r="A84">
        <v>83</v>
      </c>
      <c r="B84">
        <v>18</v>
      </c>
      <c r="C84">
        <v>2021</v>
      </c>
      <c r="G84">
        <v>81.390026963777686</v>
      </c>
      <c r="K84">
        <v>79</v>
      </c>
    </row>
    <row r="85" spans="1:11" x14ac:dyDescent="0.35">
      <c r="A85">
        <v>84</v>
      </c>
      <c r="B85">
        <v>8</v>
      </c>
      <c r="C85">
        <v>2021</v>
      </c>
      <c r="G85">
        <v>63.128342780473147</v>
      </c>
      <c r="K85">
        <v>85</v>
      </c>
    </row>
    <row r="86" spans="1:11" x14ac:dyDescent="0.35">
      <c r="A86">
        <v>85</v>
      </c>
      <c r="B86">
        <v>13</v>
      </c>
      <c r="C86">
        <v>2021</v>
      </c>
      <c r="G86">
        <v>42.772046877493381</v>
      </c>
      <c r="K86">
        <v>79</v>
      </c>
    </row>
    <row r="87" spans="1:11" x14ac:dyDescent="0.35">
      <c r="A87">
        <v>86</v>
      </c>
      <c r="B87">
        <v>8</v>
      </c>
      <c r="C87">
        <v>2021</v>
      </c>
      <c r="G87">
        <v>36.54473801196076</v>
      </c>
      <c r="K87">
        <v>68</v>
      </c>
    </row>
    <row r="88" spans="1:11" x14ac:dyDescent="0.35">
      <c r="A88">
        <v>87</v>
      </c>
      <c r="B88">
        <v>6</v>
      </c>
      <c r="C88">
        <v>2021</v>
      </c>
      <c r="G88">
        <v>84.294364825515885</v>
      </c>
      <c r="K88">
        <v>45</v>
      </c>
    </row>
    <row r="89" spans="1:11" x14ac:dyDescent="0.35">
      <c r="A89">
        <v>88</v>
      </c>
      <c r="B89">
        <v>15</v>
      </c>
      <c r="C89">
        <v>2021</v>
      </c>
      <c r="G89">
        <v>17.10220170513665</v>
      </c>
      <c r="K89">
        <v>56</v>
      </c>
    </row>
    <row r="90" spans="1:11" x14ac:dyDescent="0.35">
      <c r="A90">
        <v>89</v>
      </c>
      <c r="B90">
        <v>21</v>
      </c>
      <c r="C90">
        <v>2021</v>
      </c>
      <c r="G90">
        <v>13.753576855241434</v>
      </c>
      <c r="K90">
        <v>24</v>
      </c>
    </row>
    <row r="91" spans="1:11" x14ac:dyDescent="0.35">
      <c r="A91">
        <v>90</v>
      </c>
      <c r="B91">
        <v>11</v>
      </c>
      <c r="C91">
        <v>2021</v>
      </c>
      <c r="G91">
        <v>75.453534454770292</v>
      </c>
      <c r="K91">
        <v>20</v>
      </c>
    </row>
    <row r="92" spans="1:11" x14ac:dyDescent="0.35">
      <c r="A92">
        <v>91</v>
      </c>
      <c r="B92">
        <v>28</v>
      </c>
      <c r="C92">
        <v>2021</v>
      </c>
      <c r="G92">
        <v>92.184789568355129</v>
      </c>
      <c r="K92">
        <v>48</v>
      </c>
    </row>
    <row r="93" spans="1:11" x14ac:dyDescent="0.35">
      <c r="A93">
        <v>92</v>
      </c>
      <c r="B93">
        <v>15</v>
      </c>
      <c r="C93">
        <v>2021</v>
      </c>
      <c r="G93">
        <v>72.15574309663144</v>
      </c>
      <c r="K93">
        <v>1</v>
      </c>
    </row>
    <row r="94" spans="1:11" x14ac:dyDescent="0.35">
      <c r="A94">
        <v>93</v>
      </c>
      <c r="B94">
        <v>4</v>
      </c>
      <c r="C94">
        <v>2021</v>
      </c>
      <c r="G94">
        <v>22.735848719729432</v>
      </c>
      <c r="K94">
        <v>36</v>
      </c>
    </row>
    <row r="95" spans="1:11" x14ac:dyDescent="0.35">
      <c r="A95">
        <v>94</v>
      </c>
      <c r="B95">
        <v>4</v>
      </c>
      <c r="C95">
        <v>2021</v>
      </c>
      <c r="G95">
        <v>84.649336285507673</v>
      </c>
      <c r="K95">
        <v>11</v>
      </c>
    </row>
    <row r="96" spans="1:11" x14ac:dyDescent="0.35">
      <c r="A96">
        <v>95</v>
      </c>
      <c r="B96">
        <v>24</v>
      </c>
      <c r="C96">
        <v>2021</v>
      </c>
      <c r="G96">
        <v>31.092271458612331</v>
      </c>
      <c r="K96">
        <v>35</v>
      </c>
    </row>
    <row r="97" spans="1:11" x14ac:dyDescent="0.35">
      <c r="A97">
        <v>96</v>
      </c>
      <c r="B97">
        <v>7</v>
      </c>
      <c r="C97">
        <v>2021</v>
      </c>
      <c r="G97">
        <v>21.968389680027329</v>
      </c>
      <c r="K97">
        <v>17</v>
      </c>
    </row>
    <row r="98" spans="1:11" x14ac:dyDescent="0.35">
      <c r="A98">
        <v>97</v>
      </c>
      <c r="B98">
        <v>22</v>
      </c>
      <c r="C98">
        <v>2021</v>
      </c>
      <c r="G98">
        <v>39.691690219620995</v>
      </c>
      <c r="K98">
        <v>24</v>
      </c>
    </row>
    <row r="99" spans="1:11" x14ac:dyDescent="0.35">
      <c r="A99">
        <v>98</v>
      </c>
      <c r="B99">
        <v>19</v>
      </c>
      <c r="C99">
        <v>2021</v>
      </c>
      <c r="G99">
        <v>56.369377606727753</v>
      </c>
      <c r="K99">
        <v>26</v>
      </c>
    </row>
    <row r="100" spans="1:11" x14ac:dyDescent="0.35">
      <c r="A100">
        <v>99</v>
      </c>
      <c r="B100">
        <v>26</v>
      </c>
      <c r="C100">
        <v>2021</v>
      </c>
      <c r="G100">
        <v>94.228871762703747</v>
      </c>
      <c r="K100">
        <v>73</v>
      </c>
    </row>
    <row r="101" spans="1:11" x14ac:dyDescent="0.35">
      <c r="A101">
        <v>100</v>
      </c>
      <c r="B101">
        <v>6</v>
      </c>
      <c r="C101">
        <v>2021</v>
      </c>
      <c r="G101">
        <v>92.020877171759693</v>
      </c>
      <c r="K101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FA10-979B-4908-B42A-810BB8CCB867}">
  <dimension ref="A1:B39"/>
  <sheetViews>
    <sheetView workbookViewId="0">
      <selection activeCell="E41" sqref="E41"/>
    </sheetView>
  </sheetViews>
  <sheetFormatPr defaultRowHeight="14.5" x14ac:dyDescent="0.35"/>
  <cols>
    <col min="1" max="1" width="13.90625" customWidth="1"/>
    <col min="2" max="2" width="21.6328125" customWidth="1"/>
  </cols>
  <sheetData>
    <row r="1" spans="1:2" ht="26.5" thickBot="1" x14ac:dyDescent="0.4">
      <c r="A1" t="s">
        <v>50</v>
      </c>
      <c r="B1" s="2" t="s">
        <v>11</v>
      </c>
    </row>
    <row r="2" spans="1:2" ht="39.5" x14ac:dyDescent="0.35">
      <c r="A2">
        <v>1</v>
      </c>
      <c r="B2" s="3" t="s">
        <v>12</v>
      </c>
    </row>
    <row r="3" spans="1:2" x14ac:dyDescent="0.35">
      <c r="A3">
        <v>2</v>
      </c>
      <c r="B3" s="4" t="s">
        <v>13</v>
      </c>
    </row>
    <row r="4" spans="1:2" x14ac:dyDescent="0.35">
      <c r="A4">
        <v>3</v>
      </c>
      <c r="B4" s="4" t="s">
        <v>14</v>
      </c>
    </row>
    <row r="5" spans="1:2" x14ac:dyDescent="0.35">
      <c r="A5">
        <v>4</v>
      </c>
      <c r="B5" s="4" t="s">
        <v>15</v>
      </c>
    </row>
    <row r="6" spans="1:2" x14ac:dyDescent="0.35">
      <c r="A6">
        <v>5</v>
      </c>
      <c r="B6" s="4" t="s">
        <v>16</v>
      </c>
    </row>
    <row r="7" spans="1:2" x14ac:dyDescent="0.35">
      <c r="A7">
        <v>6</v>
      </c>
      <c r="B7" s="4" t="s">
        <v>17</v>
      </c>
    </row>
    <row r="8" spans="1:2" x14ac:dyDescent="0.35">
      <c r="A8">
        <v>7</v>
      </c>
      <c r="B8" s="4" t="s">
        <v>18</v>
      </c>
    </row>
    <row r="9" spans="1:2" x14ac:dyDescent="0.35">
      <c r="A9">
        <v>8</v>
      </c>
      <c r="B9" s="4" t="s">
        <v>19</v>
      </c>
    </row>
    <row r="10" spans="1:2" x14ac:dyDescent="0.35">
      <c r="A10">
        <v>9</v>
      </c>
      <c r="B10" s="4" t="s">
        <v>20</v>
      </c>
    </row>
    <row r="11" spans="1:2" x14ac:dyDescent="0.35">
      <c r="A11">
        <v>10</v>
      </c>
      <c r="B11" s="4" t="s">
        <v>21</v>
      </c>
    </row>
    <row r="12" spans="1:2" x14ac:dyDescent="0.35">
      <c r="A12">
        <v>11</v>
      </c>
      <c r="B12" s="4" t="s">
        <v>22</v>
      </c>
    </row>
    <row r="13" spans="1:2" x14ac:dyDescent="0.35">
      <c r="A13">
        <v>12</v>
      </c>
      <c r="B13" s="4" t="s">
        <v>23</v>
      </c>
    </row>
    <row r="14" spans="1:2" x14ac:dyDescent="0.35">
      <c r="A14">
        <v>13</v>
      </c>
      <c r="B14" s="4" t="s">
        <v>24</v>
      </c>
    </row>
    <row r="15" spans="1:2" x14ac:dyDescent="0.35">
      <c r="A15">
        <v>14</v>
      </c>
      <c r="B15" s="4" t="s">
        <v>25</v>
      </c>
    </row>
    <row r="16" spans="1:2" x14ac:dyDescent="0.35">
      <c r="A16">
        <v>15</v>
      </c>
      <c r="B16" s="4" t="s">
        <v>26</v>
      </c>
    </row>
    <row r="17" spans="1:2" x14ac:dyDescent="0.35">
      <c r="A17">
        <v>16</v>
      </c>
      <c r="B17" s="4" t="s">
        <v>27</v>
      </c>
    </row>
    <row r="18" spans="1:2" x14ac:dyDescent="0.35">
      <c r="A18">
        <v>17</v>
      </c>
      <c r="B18" s="4" t="s">
        <v>28</v>
      </c>
    </row>
    <row r="19" spans="1:2" x14ac:dyDescent="0.35">
      <c r="A19">
        <v>18</v>
      </c>
      <c r="B19" s="4" t="s">
        <v>29</v>
      </c>
    </row>
    <row r="20" spans="1:2" x14ac:dyDescent="0.35">
      <c r="A20">
        <v>19</v>
      </c>
      <c r="B20" s="4" t="s">
        <v>30</v>
      </c>
    </row>
    <row r="21" spans="1:2" x14ac:dyDescent="0.35">
      <c r="A21">
        <v>20</v>
      </c>
      <c r="B21" s="4" t="s">
        <v>31</v>
      </c>
    </row>
    <row r="22" spans="1:2" x14ac:dyDescent="0.35">
      <c r="A22">
        <v>21</v>
      </c>
      <c r="B22" s="4" t="s">
        <v>32</v>
      </c>
    </row>
    <row r="23" spans="1:2" x14ac:dyDescent="0.35">
      <c r="A23">
        <v>22</v>
      </c>
      <c r="B23" s="4" t="s">
        <v>33</v>
      </c>
    </row>
    <row r="24" spans="1:2" x14ac:dyDescent="0.35">
      <c r="A24">
        <v>23</v>
      </c>
      <c r="B24" s="4" t="s">
        <v>34</v>
      </c>
    </row>
    <row r="25" spans="1:2" x14ac:dyDescent="0.35">
      <c r="A25">
        <v>24</v>
      </c>
      <c r="B25" s="4" t="s">
        <v>35</v>
      </c>
    </row>
    <row r="26" spans="1:2" x14ac:dyDescent="0.35">
      <c r="A26">
        <v>25</v>
      </c>
      <c r="B26" s="4" t="s">
        <v>36</v>
      </c>
    </row>
    <row r="27" spans="1:2" x14ac:dyDescent="0.35">
      <c r="A27">
        <v>26</v>
      </c>
      <c r="B27" s="4" t="s">
        <v>37</v>
      </c>
    </row>
    <row r="28" spans="1:2" x14ac:dyDescent="0.35">
      <c r="A28">
        <v>27</v>
      </c>
      <c r="B28" s="4" t="s">
        <v>38</v>
      </c>
    </row>
    <row r="29" spans="1:2" x14ac:dyDescent="0.35">
      <c r="A29">
        <v>28</v>
      </c>
      <c r="B29" s="4" t="s">
        <v>39</v>
      </c>
    </row>
    <row r="30" spans="1:2" x14ac:dyDescent="0.35">
      <c r="A30">
        <v>29</v>
      </c>
      <c r="B30" s="4" t="s">
        <v>40</v>
      </c>
    </row>
    <row r="31" spans="1:2" x14ac:dyDescent="0.35">
      <c r="A31">
        <v>30</v>
      </c>
      <c r="B31" s="4" t="s">
        <v>41</v>
      </c>
    </row>
    <row r="32" spans="1:2" x14ac:dyDescent="0.35">
      <c r="A32">
        <v>31</v>
      </c>
      <c r="B32" s="4" t="s">
        <v>42</v>
      </c>
    </row>
    <row r="33" spans="1:2" x14ac:dyDescent="0.35">
      <c r="A33">
        <v>32</v>
      </c>
      <c r="B33" s="4" t="s">
        <v>43</v>
      </c>
    </row>
    <row r="34" spans="1:2" x14ac:dyDescent="0.35">
      <c r="A34">
        <v>33</v>
      </c>
      <c r="B34" s="4" t="s">
        <v>44</v>
      </c>
    </row>
    <row r="35" spans="1:2" x14ac:dyDescent="0.35">
      <c r="A35">
        <v>34</v>
      </c>
      <c r="B35" s="4" t="s">
        <v>45</v>
      </c>
    </row>
    <row r="36" spans="1:2" x14ac:dyDescent="0.35">
      <c r="A36">
        <v>35</v>
      </c>
      <c r="B36" s="4" t="s">
        <v>46</v>
      </c>
    </row>
    <row r="37" spans="1:2" x14ac:dyDescent="0.35">
      <c r="A37">
        <v>36</v>
      </c>
      <c r="B37" s="4" t="s">
        <v>47</v>
      </c>
    </row>
    <row r="38" spans="1:2" x14ac:dyDescent="0.35">
      <c r="A38">
        <v>37</v>
      </c>
      <c r="B38" s="4" t="s">
        <v>48</v>
      </c>
    </row>
    <row r="39" spans="1:2" x14ac:dyDescent="0.35">
      <c r="A39">
        <v>38</v>
      </c>
      <c r="B39" s="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7475-6A34-4797-B7D0-93C0ACEFB8BA}">
  <dimension ref="A1:B12"/>
  <sheetViews>
    <sheetView workbookViewId="0">
      <selection activeCell="H20" sqref="H20"/>
    </sheetView>
  </sheetViews>
  <sheetFormatPr defaultRowHeight="14.5" x14ac:dyDescent="0.35"/>
  <cols>
    <col min="2" max="2" width="13" customWidth="1"/>
  </cols>
  <sheetData>
    <row r="1" spans="1:2" x14ac:dyDescent="0.35">
      <c r="A1" t="s">
        <v>51</v>
      </c>
      <c r="B1" t="s">
        <v>52</v>
      </c>
    </row>
    <row r="3" spans="1:2" x14ac:dyDescent="0.35">
      <c r="A3" s="5" t="s">
        <v>53</v>
      </c>
      <c r="B3" s="6" t="s">
        <v>54</v>
      </c>
    </row>
    <row r="4" spans="1:2" x14ac:dyDescent="0.35">
      <c r="A4" s="5" t="s">
        <v>55</v>
      </c>
      <c r="B4" s="7" t="s">
        <v>56</v>
      </c>
    </row>
    <row r="5" spans="1:2" x14ac:dyDescent="0.35">
      <c r="A5" s="8" t="s">
        <v>2</v>
      </c>
      <c r="B5" s="7" t="s">
        <v>57</v>
      </c>
    </row>
    <row r="6" spans="1:2" x14ac:dyDescent="0.35">
      <c r="A6" s="8" t="s">
        <v>3</v>
      </c>
      <c r="B6" s="7" t="s">
        <v>60</v>
      </c>
    </row>
    <row r="7" spans="1:2" x14ac:dyDescent="0.35">
      <c r="A7" s="8" t="s">
        <v>4</v>
      </c>
      <c r="B7" s="7" t="s">
        <v>61</v>
      </c>
    </row>
    <row r="8" spans="1:2" x14ac:dyDescent="0.35">
      <c r="A8" s="8" t="s">
        <v>5</v>
      </c>
      <c r="B8" s="7" t="s">
        <v>62</v>
      </c>
    </row>
    <row r="9" spans="1:2" x14ac:dyDescent="0.35">
      <c r="A9" s="5" t="s">
        <v>7</v>
      </c>
      <c r="B9" s="7" t="s">
        <v>58</v>
      </c>
    </row>
    <row r="10" spans="1:2" x14ac:dyDescent="0.35">
      <c r="A10" s="5" t="s">
        <v>8</v>
      </c>
      <c r="B10" s="7" t="s">
        <v>59</v>
      </c>
    </row>
    <row r="11" spans="1:2" x14ac:dyDescent="0.35">
      <c r="A11" s="5" t="s">
        <v>9</v>
      </c>
      <c r="B11" s="7" t="s">
        <v>63</v>
      </c>
    </row>
    <row r="12" spans="1:2" x14ac:dyDescent="0.35">
      <c r="A12" s="5" t="s">
        <v>10</v>
      </c>
      <c r="B12" s="7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33B6-185E-4AE7-AE27-7414FA438756}">
  <dimension ref="A1:K101"/>
  <sheetViews>
    <sheetView zoomScale="72" workbookViewId="0">
      <selection activeCell="K101" sqref="A1:K101"/>
    </sheetView>
  </sheetViews>
  <sheetFormatPr defaultRowHeight="14.5" x14ac:dyDescent="0.35"/>
  <sheetData>
    <row r="1" spans="1:11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cm="1">
        <f t="array" aca="1" ref="B2:B101" ca="1">_xlfn.RANDARRAY(100,1,1,35,TRUE)</f>
        <v>16</v>
      </c>
      <c r="C2">
        <v>1985</v>
      </c>
      <c r="D2" s="1" cm="1">
        <f t="array" aca="1" ref="D2:G21" ca="1">_xlfn.RANDARRAY(20,4,10,97,FALSE)</f>
        <v>48.773292026721748</v>
      </c>
      <c r="E2">
        <f ca="1"/>
        <v>26.401938594307865</v>
      </c>
      <c r="F2">
        <f ca="1"/>
        <v>61.643500086133713</v>
      </c>
      <c r="G2">
        <f ca="1"/>
        <v>76.581497086715729</v>
      </c>
      <c r="H2" cm="1">
        <f t="array" aca="1" ref="H2:K21" ca="1">_xlfn.RANDARRAY(20,4,0,90,TRUE)</f>
        <v>31</v>
      </c>
      <c r="I2">
        <f ca="1"/>
        <v>1</v>
      </c>
      <c r="J2">
        <f ca="1"/>
        <v>74</v>
      </c>
      <c r="K2">
        <f ca="1"/>
        <v>6</v>
      </c>
    </row>
    <row r="3" spans="1:11" x14ac:dyDescent="0.35">
      <c r="A3">
        <v>2</v>
      </c>
      <c r="B3">
        <f ca="1"/>
        <v>2</v>
      </c>
      <c r="C3">
        <v>1985</v>
      </c>
      <c r="D3">
        <f ca="1"/>
        <v>39.216129141338627</v>
      </c>
      <c r="E3">
        <f ca="1"/>
        <v>48.525042331482908</v>
      </c>
      <c r="F3">
        <f ca="1"/>
        <v>84.127418204667549</v>
      </c>
      <c r="G3">
        <f ca="1"/>
        <v>42.32845146290525</v>
      </c>
      <c r="H3">
        <f ca="1"/>
        <v>33</v>
      </c>
      <c r="I3">
        <f ca="1"/>
        <v>37</v>
      </c>
      <c r="J3">
        <f ca="1"/>
        <v>79</v>
      </c>
      <c r="K3">
        <f ca="1"/>
        <v>74</v>
      </c>
    </row>
    <row r="4" spans="1:11" x14ac:dyDescent="0.35">
      <c r="A4">
        <v>3</v>
      </c>
      <c r="B4">
        <f ca="1"/>
        <v>23</v>
      </c>
      <c r="C4">
        <v>1985</v>
      </c>
      <c r="D4">
        <f ca="1"/>
        <v>88.574342258213477</v>
      </c>
      <c r="E4">
        <f ca="1"/>
        <v>72.188924540331399</v>
      </c>
      <c r="F4">
        <f ca="1"/>
        <v>37.80869178315956</v>
      </c>
      <c r="G4">
        <f ca="1"/>
        <v>46.588927813499808</v>
      </c>
      <c r="H4">
        <f ca="1"/>
        <v>70</v>
      </c>
      <c r="I4">
        <f ca="1"/>
        <v>70</v>
      </c>
      <c r="J4">
        <f ca="1"/>
        <v>50</v>
      </c>
      <c r="K4">
        <f ca="1"/>
        <v>35</v>
      </c>
    </row>
    <row r="5" spans="1:11" x14ac:dyDescent="0.35">
      <c r="A5">
        <v>4</v>
      </c>
      <c r="B5">
        <f ca="1"/>
        <v>17</v>
      </c>
      <c r="C5">
        <v>1985</v>
      </c>
      <c r="D5">
        <f ca="1"/>
        <v>42.562986676989951</v>
      </c>
      <c r="E5">
        <f ca="1"/>
        <v>84.210256287784034</v>
      </c>
      <c r="F5">
        <f ca="1"/>
        <v>18.895006229003087</v>
      </c>
      <c r="G5">
        <f ca="1"/>
        <v>92.218460678678227</v>
      </c>
      <c r="H5">
        <f ca="1"/>
        <v>67</v>
      </c>
      <c r="I5">
        <f ca="1"/>
        <v>16</v>
      </c>
      <c r="J5">
        <f ca="1"/>
        <v>16</v>
      </c>
      <c r="K5">
        <f ca="1"/>
        <v>15</v>
      </c>
    </row>
    <row r="6" spans="1:11" x14ac:dyDescent="0.35">
      <c r="A6">
        <v>5</v>
      </c>
      <c r="B6">
        <f ca="1"/>
        <v>7</v>
      </c>
      <c r="C6">
        <v>1985</v>
      </c>
      <c r="D6">
        <f ca="1"/>
        <v>24.986570485872278</v>
      </c>
      <c r="E6">
        <f ca="1"/>
        <v>96.053890695528281</v>
      </c>
      <c r="F6">
        <f ca="1"/>
        <v>41.669853436422571</v>
      </c>
      <c r="G6">
        <f ca="1"/>
        <v>31.888546413818091</v>
      </c>
      <c r="H6">
        <f ca="1"/>
        <v>53</v>
      </c>
      <c r="I6">
        <f ca="1"/>
        <v>13</v>
      </c>
      <c r="J6">
        <f ca="1"/>
        <v>61</v>
      </c>
      <c r="K6">
        <f ca="1"/>
        <v>20</v>
      </c>
    </row>
    <row r="7" spans="1:11" x14ac:dyDescent="0.35">
      <c r="A7">
        <v>6</v>
      </c>
      <c r="B7">
        <f ca="1"/>
        <v>5</v>
      </c>
      <c r="C7">
        <v>1985</v>
      </c>
      <c r="D7">
        <f ca="1"/>
        <v>24.902234342643794</v>
      </c>
      <c r="E7">
        <f ca="1"/>
        <v>14.634094289358828</v>
      </c>
      <c r="F7">
        <f ca="1"/>
        <v>62.7523092005557</v>
      </c>
      <c r="G7">
        <f ca="1"/>
        <v>58.678837772591791</v>
      </c>
      <c r="H7">
        <f ca="1"/>
        <v>23</v>
      </c>
      <c r="I7">
        <f ca="1"/>
        <v>27</v>
      </c>
      <c r="J7">
        <f ca="1"/>
        <v>33</v>
      </c>
      <c r="K7">
        <f ca="1"/>
        <v>21</v>
      </c>
    </row>
    <row r="8" spans="1:11" x14ac:dyDescent="0.35">
      <c r="A8">
        <v>7</v>
      </c>
      <c r="B8">
        <f ca="1"/>
        <v>19</v>
      </c>
      <c r="C8">
        <v>1985</v>
      </c>
      <c r="D8">
        <f ca="1"/>
        <v>85.351174360625393</v>
      </c>
      <c r="E8">
        <f ca="1"/>
        <v>91.979458449804469</v>
      </c>
      <c r="F8">
        <f ca="1"/>
        <v>79.60574363828897</v>
      </c>
      <c r="G8">
        <f ca="1"/>
        <v>33.992787908939718</v>
      </c>
      <c r="H8">
        <f ca="1"/>
        <v>32</v>
      </c>
      <c r="I8">
        <f ca="1"/>
        <v>27</v>
      </c>
      <c r="J8">
        <f ca="1"/>
        <v>20</v>
      </c>
      <c r="K8">
        <f ca="1"/>
        <v>9</v>
      </c>
    </row>
    <row r="9" spans="1:11" x14ac:dyDescent="0.35">
      <c r="A9">
        <v>8</v>
      </c>
      <c r="B9">
        <f ca="1"/>
        <v>19</v>
      </c>
      <c r="C9">
        <v>1985</v>
      </c>
      <c r="D9">
        <f ca="1"/>
        <v>27.757948815800503</v>
      </c>
      <c r="E9">
        <f ca="1"/>
        <v>43.182993012289728</v>
      </c>
      <c r="F9">
        <f ca="1"/>
        <v>14.751620343347071</v>
      </c>
      <c r="G9">
        <f ca="1"/>
        <v>94.823987380803885</v>
      </c>
      <c r="H9">
        <f ca="1"/>
        <v>68</v>
      </c>
      <c r="I9">
        <f ca="1"/>
        <v>89</v>
      </c>
      <c r="J9">
        <f ca="1"/>
        <v>69</v>
      </c>
      <c r="K9">
        <f ca="1"/>
        <v>70</v>
      </c>
    </row>
    <row r="10" spans="1:11" x14ac:dyDescent="0.35">
      <c r="A10">
        <v>9</v>
      </c>
      <c r="B10">
        <f ca="1"/>
        <v>25</v>
      </c>
      <c r="C10">
        <v>1985</v>
      </c>
      <c r="D10">
        <f ca="1"/>
        <v>60.709854258451273</v>
      </c>
      <c r="E10">
        <f ca="1"/>
        <v>30.327422984736401</v>
      </c>
      <c r="F10">
        <f ca="1"/>
        <v>18.329009152702298</v>
      </c>
      <c r="G10">
        <f ca="1"/>
        <v>96.949736569015741</v>
      </c>
      <c r="H10">
        <f ca="1"/>
        <v>7</v>
      </c>
      <c r="I10">
        <f ca="1"/>
        <v>21</v>
      </c>
      <c r="J10">
        <f ca="1"/>
        <v>21</v>
      </c>
      <c r="K10">
        <f ca="1"/>
        <v>67</v>
      </c>
    </row>
    <row r="11" spans="1:11" x14ac:dyDescent="0.35">
      <c r="A11">
        <v>10</v>
      </c>
      <c r="B11">
        <f ca="1"/>
        <v>16</v>
      </c>
      <c r="C11">
        <v>1985</v>
      </c>
      <c r="D11">
        <f ca="1"/>
        <v>85.344150567782876</v>
      </c>
      <c r="E11">
        <f ca="1"/>
        <v>20.696475197227912</v>
      </c>
      <c r="F11">
        <f ca="1"/>
        <v>47.074597927955793</v>
      </c>
      <c r="G11">
        <f ca="1"/>
        <v>79.307931258281073</v>
      </c>
      <c r="H11">
        <f ca="1"/>
        <v>46</v>
      </c>
      <c r="I11">
        <f ca="1"/>
        <v>3</v>
      </c>
      <c r="J11">
        <f ca="1"/>
        <v>56</v>
      </c>
      <c r="K11">
        <f ca="1"/>
        <v>36</v>
      </c>
    </row>
    <row r="12" spans="1:11" x14ac:dyDescent="0.35">
      <c r="A12">
        <v>11</v>
      </c>
      <c r="B12">
        <f ca="1"/>
        <v>17</v>
      </c>
      <c r="C12">
        <v>1985</v>
      </c>
      <c r="D12">
        <f ca="1"/>
        <v>65.639255669745069</v>
      </c>
      <c r="E12">
        <f ca="1"/>
        <v>60.342297373269517</v>
      </c>
      <c r="F12">
        <f ca="1"/>
        <v>91.996381864911385</v>
      </c>
      <c r="G12">
        <f ca="1"/>
        <v>31.934461099631392</v>
      </c>
      <c r="H12">
        <f ca="1"/>
        <v>36</v>
      </c>
      <c r="I12">
        <f ca="1"/>
        <v>5</v>
      </c>
      <c r="J12">
        <f ca="1"/>
        <v>81</v>
      </c>
      <c r="K12">
        <f ca="1"/>
        <v>43</v>
      </c>
    </row>
    <row r="13" spans="1:11" x14ac:dyDescent="0.35">
      <c r="A13">
        <v>12</v>
      </c>
      <c r="B13">
        <f ca="1"/>
        <v>6</v>
      </c>
      <c r="C13">
        <v>1985</v>
      </c>
      <c r="D13">
        <f ca="1"/>
        <v>54.528951238600314</v>
      </c>
      <c r="E13">
        <f ca="1"/>
        <v>37.852731091113995</v>
      </c>
      <c r="F13">
        <f ca="1"/>
        <v>75.785960555430165</v>
      </c>
      <c r="G13">
        <f ca="1"/>
        <v>12.671802709966087</v>
      </c>
      <c r="H13">
        <f ca="1"/>
        <v>6</v>
      </c>
      <c r="I13">
        <f ca="1"/>
        <v>44</v>
      </c>
      <c r="J13">
        <f ca="1"/>
        <v>10</v>
      </c>
      <c r="K13">
        <f ca="1"/>
        <v>87</v>
      </c>
    </row>
    <row r="14" spans="1:11" x14ac:dyDescent="0.35">
      <c r="A14">
        <v>13</v>
      </c>
      <c r="B14">
        <f ca="1"/>
        <v>24</v>
      </c>
      <c r="C14">
        <v>1985</v>
      </c>
      <c r="D14">
        <f ca="1"/>
        <v>39.751981167258791</v>
      </c>
      <c r="E14">
        <f ca="1"/>
        <v>59.228768381942089</v>
      </c>
      <c r="F14">
        <f ca="1"/>
        <v>38.717654417344249</v>
      </c>
      <c r="G14">
        <f ca="1"/>
        <v>70.072678932097233</v>
      </c>
      <c r="H14">
        <f ca="1"/>
        <v>49</v>
      </c>
      <c r="I14">
        <f ca="1"/>
        <v>71</v>
      </c>
      <c r="J14">
        <f ca="1"/>
        <v>63</v>
      </c>
      <c r="K14">
        <f ca="1"/>
        <v>2</v>
      </c>
    </row>
    <row r="15" spans="1:11" x14ac:dyDescent="0.35">
      <c r="A15">
        <v>14</v>
      </c>
      <c r="B15">
        <f ca="1"/>
        <v>19</v>
      </c>
      <c r="C15">
        <v>1985</v>
      </c>
      <c r="D15">
        <f ca="1"/>
        <v>88.149612498188944</v>
      </c>
      <c r="E15">
        <f ca="1"/>
        <v>57.978380072083795</v>
      </c>
      <c r="F15">
        <f ca="1"/>
        <v>91.147713672157721</v>
      </c>
      <c r="G15">
        <f ca="1"/>
        <v>93.662812100610537</v>
      </c>
      <c r="H15">
        <f ca="1"/>
        <v>19</v>
      </c>
      <c r="I15">
        <f ca="1"/>
        <v>48</v>
      </c>
      <c r="J15">
        <f ca="1"/>
        <v>84</v>
      </c>
      <c r="K15">
        <f ca="1"/>
        <v>43</v>
      </c>
    </row>
    <row r="16" spans="1:11" x14ac:dyDescent="0.35">
      <c r="A16">
        <v>15</v>
      </c>
      <c r="B16">
        <f ca="1"/>
        <v>6</v>
      </c>
      <c r="C16">
        <v>1985</v>
      </c>
      <c r="D16">
        <f ca="1"/>
        <v>18.344077950813059</v>
      </c>
      <c r="E16">
        <f ca="1"/>
        <v>23.896861117169124</v>
      </c>
      <c r="F16">
        <f ca="1"/>
        <v>58.213662489421381</v>
      </c>
      <c r="G16">
        <f ca="1"/>
        <v>93.206122022997434</v>
      </c>
      <c r="H16">
        <f ca="1"/>
        <v>32</v>
      </c>
      <c r="I16">
        <f ca="1"/>
        <v>70</v>
      </c>
      <c r="J16">
        <f ca="1"/>
        <v>36</v>
      </c>
      <c r="K16">
        <f ca="1"/>
        <v>44</v>
      </c>
    </row>
    <row r="17" spans="1:11" x14ac:dyDescent="0.35">
      <c r="A17">
        <v>16</v>
      </c>
      <c r="B17">
        <f ca="1"/>
        <v>9</v>
      </c>
      <c r="C17">
        <v>1985</v>
      </c>
      <c r="D17">
        <f ca="1"/>
        <v>25.502064775374407</v>
      </c>
      <c r="E17">
        <f ca="1"/>
        <v>77.33819080661651</v>
      </c>
      <c r="F17">
        <f ca="1"/>
        <v>89.29791244621471</v>
      </c>
      <c r="G17">
        <f ca="1"/>
        <v>10.002513078895362</v>
      </c>
      <c r="H17">
        <f ca="1"/>
        <v>12</v>
      </c>
      <c r="I17">
        <f ca="1"/>
        <v>42</v>
      </c>
      <c r="J17">
        <f ca="1"/>
        <v>12</v>
      </c>
      <c r="K17">
        <f ca="1"/>
        <v>27</v>
      </c>
    </row>
    <row r="18" spans="1:11" x14ac:dyDescent="0.35">
      <c r="A18">
        <v>17</v>
      </c>
      <c r="B18">
        <f ca="1"/>
        <v>35</v>
      </c>
      <c r="C18">
        <v>1985</v>
      </c>
      <c r="D18">
        <f ca="1"/>
        <v>90.781839161989652</v>
      </c>
      <c r="E18">
        <f ca="1"/>
        <v>92.907249029836805</v>
      </c>
      <c r="F18">
        <f ca="1"/>
        <v>39.966096143931537</v>
      </c>
      <c r="G18">
        <f ca="1"/>
        <v>71.441298150538671</v>
      </c>
      <c r="H18">
        <f ca="1"/>
        <v>30</v>
      </c>
      <c r="I18">
        <f ca="1"/>
        <v>89</v>
      </c>
      <c r="J18">
        <f ca="1"/>
        <v>69</v>
      </c>
      <c r="K18">
        <f ca="1"/>
        <v>43</v>
      </c>
    </row>
    <row r="19" spans="1:11" x14ac:dyDescent="0.35">
      <c r="A19">
        <v>18</v>
      </c>
      <c r="B19">
        <f ca="1"/>
        <v>1</v>
      </c>
      <c r="C19">
        <v>1985</v>
      </c>
      <c r="D19">
        <f ca="1"/>
        <v>94.656839596504923</v>
      </c>
      <c r="E19">
        <f ca="1"/>
        <v>59.601833749272473</v>
      </c>
      <c r="F19">
        <f ca="1"/>
        <v>40.468966675139072</v>
      </c>
      <c r="G19">
        <f ca="1"/>
        <v>87.96608363732345</v>
      </c>
      <c r="H19">
        <f ca="1"/>
        <v>24</v>
      </c>
      <c r="I19">
        <f ca="1"/>
        <v>37</v>
      </c>
      <c r="J19">
        <f ca="1"/>
        <v>43</v>
      </c>
      <c r="K19">
        <f ca="1"/>
        <v>6</v>
      </c>
    </row>
    <row r="20" spans="1:11" x14ac:dyDescent="0.35">
      <c r="A20">
        <v>19</v>
      </c>
      <c r="B20">
        <f ca="1"/>
        <v>35</v>
      </c>
      <c r="C20">
        <v>1985</v>
      </c>
      <c r="D20">
        <f ca="1"/>
        <v>58.868431787558208</v>
      </c>
      <c r="E20">
        <f ca="1"/>
        <v>29.366104955211625</v>
      </c>
      <c r="F20">
        <f ca="1"/>
        <v>20.849131897730388</v>
      </c>
      <c r="G20">
        <f ca="1"/>
        <v>46.287076415764517</v>
      </c>
      <c r="H20">
        <f ca="1"/>
        <v>35</v>
      </c>
      <c r="I20">
        <f ca="1"/>
        <v>14</v>
      </c>
      <c r="J20">
        <f ca="1"/>
        <v>41</v>
      </c>
      <c r="K20">
        <f ca="1"/>
        <v>84</v>
      </c>
    </row>
    <row r="21" spans="1:11" x14ac:dyDescent="0.35">
      <c r="A21">
        <v>20</v>
      </c>
      <c r="B21">
        <f ca="1"/>
        <v>12</v>
      </c>
      <c r="C21">
        <v>1985</v>
      </c>
      <c r="D21">
        <f ca="1"/>
        <v>88.148449389236319</v>
      </c>
      <c r="E21">
        <f ca="1"/>
        <v>26.417148305760989</v>
      </c>
      <c r="F21">
        <f ca="1"/>
        <v>93.438231997039566</v>
      </c>
      <c r="G21">
        <f ca="1"/>
        <v>88.206727957200115</v>
      </c>
      <c r="H21">
        <f ca="1"/>
        <v>87</v>
      </c>
      <c r="I21">
        <f ca="1"/>
        <v>6</v>
      </c>
      <c r="J21">
        <f ca="1"/>
        <v>59</v>
      </c>
      <c r="K21">
        <f ca="1"/>
        <v>40</v>
      </c>
    </row>
    <row r="22" spans="1:11" x14ac:dyDescent="0.35">
      <c r="A22">
        <v>21</v>
      </c>
      <c r="B22">
        <f ca="1"/>
        <v>13</v>
      </c>
      <c r="C22">
        <v>1991</v>
      </c>
      <c r="E22" cm="1">
        <f t="array" aca="1" ref="E22:G42" ca="1">_xlfn.RANDARRAY(21,3,10,97,FALSE)</f>
        <v>14.391282835297304</v>
      </c>
      <c r="F22">
        <f ca="1"/>
        <v>31.232340476437614</v>
      </c>
      <c r="G22">
        <f ca="1"/>
        <v>69.330817624032321</v>
      </c>
      <c r="I22" cm="1">
        <f t="array" aca="1" ref="I22:K42" ca="1">_xlfn.RANDARRAY(21,3,0,90,TRUE)</f>
        <v>70</v>
      </c>
      <c r="J22">
        <f ca="1"/>
        <v>78</v>
      </c>
      <c r="K22">
        <f ca="1"/>
        <v>43</v>
      </c>
    </row>
    <row r="23" spans="1:11" x14ac:dyDescent="0.35">
      <c r="A23">
        <v>22</v>
      </c>
      <c r="B23">
        <f ca="1"/>
        <v>22</v>
      </c>
      <c r="C23">
        <v>1991</v>
      </c>
      <c r="E23">
        <f ca="1"/>
        <v>41.034531525830815</v>
      </c>
      <c r="F23">
        <f ca="1"/>
        <v>29.640252660697371</v>
      </c>
      <c r="G23">
        <f ca="1"/>
        <v>60.042755390431992</v>
      </c>
      <c r="I23">
        <f ca="1"/>
        <v>2</v>
      </c>
      <c r="J23">
        <f ca="1"/>
        <v>49</v>
      </c>
      <c r="K23">
        <f ca="1"/>
        <v>42</v>
      </c>
    </row>
    <row r="24" spans="1:11" x14ac:dyDescent="0.35">
      <c r="A24">
        <v>23</v>
      </c>
      <c r="B24">
        <f ca="1"/>
        <v>26</v>
      </c>
      <c r="C24">
        <v>1991</v>
      </c>
      <c r="E24">
        <f ca="1"/>
        <v>21.399123405311528</v>
      </c>
      <c r="F24">
        <f ca="1"/>
        <v>55.485051428155728</v>
      </c>
      <c r="G24">
        <f ca="1"/>
        <v>22.544271698866922</v>
      </c>
      <c r="I24">
        <f ca="1"/>
        <v>55</v>
      </c>
      <c r="J24">
        <f ca="1"/>
        <v>4</v>
      </c>
      <c r="K24">
        <f ca="1"/>
        <v>38</v>
      </c>
    </row>
    <row r="25" spans="1:11" x14ac:dyDescent="0.35">
      <c r="A25">
        <v>24</v>
      </c>
      <c r="B25">
        <f ca="1"/>
        <v>29</v>
      </c>
      <c r="C25">
        <v>1991</v>
      </c>
      <c r="E25">
        <f ca="1"/>
        <v>86.732917881004695</v>
      </c>
      <c r="F25">
        <f ca="1"/>
        <v>88.355801865885397</v>
      </c>
      <c r="G25">
        <f ca="1"/>
        <v>21.061936221311854</v>
      </c>
      <c r="I25">
        <f ca="1"/>
        <v>30</v>
      </c>
      <c r="J25">
        <f ca="1"/>
        <v>3</v>
      </c>
      <c r="K25">
        <f ca="1"/>
        <v>24</v>
      </c>
    </row>
    <row r="26" spans="1:11" x14ac:dyDescent="0.35">
      <c r="A26">
        <v>25</v>
      </c>
      <c r="B26">
        <f ca="1"/>
        <v>11</v>
      </c>
      <c r="C26">
        <v>1991</v>
      </c>
      <c r="E26">
        <f ca="1"/>
        <v>18.39316316109614</v>
      </c>
      <c r="F26">
        <f ca="1"/>
        <v>78.666066753261504</v>
      </c>
      <c r="G26">
        <f ca="1"/>
        <v>30.081043497586251</v>
      </c>
      <c r="I26">
        <f ca="1"/>
        <v>86</v>
      </c>
      <c r="J26">
        <f ca="1"/>
        <v>54</v>
      </c>
      <c r="K26">
        <f ca="1"/>
        <v>3</v>
      </c>
    </row>
    <row r="27" spans="1:11" x14ac:dyDescent="0.35">
      <c r="A27">
        <v>26</v>
      </c>
      <c r="B27">
        <f ca="1"/>
        <v>5</v>
      </c>
      <c r="C27">
        <v>1991</v>
      </c>
      <c r="E27">
        <f ca="1"/>
        <v>79.549649436432773</v>
      </c>
      <c r="F27">
        <f ca="1"/>
        <v>85.592815639960548</v>
      </c>
      <c r="G27">
        <f ca="1"/>
        <v>10.149993777264541</v>
      </c>
      <c r="I27">
        <f ca="1"/>
        <v>51</v>
      </c>
      <c r="J27">
        <f ca="1"/>
        <v>8</v>
      </c>
      <c r="K27">
        <f ca="1"/>
        <v>27</v>
      </c>
    </row>
    <row r="28" spans="1:11" x14ac:dyDescent="0.35">
      <c r="A28">
        <v>27</v>
      </c>
      <c r="B28">
        <f ca="1"/>
        <v>16</v>
      </c>
      <c r="C28">
        <v>1991</v>
      </c>
      <c r="E28">
        <f ca="1"/>
        <v>45.782698981950929</v>
      </c>
      <c r="F28">
        <f ca="1"/>
        <v>76.192574478842531</v>
      </c>
      <c r="G28">
        <f ca="1"/>
        <v>80.013327314621705</v>
      </c>
      <c r="I28">
        <f ca="1"/>
        <v>35</v>
      </c>
      <c r="J28">
        <f ca="1"/>
        <v>31</v>
      </c>
      <c r="K28">
        <f ca="1"/>
        <v>38</v>
      </c>
    </row>
    <row r="29" spans="1:11" x14ac:dyDescent="0.35">
      <c r="A29">
        <v>28</v>
      </c>
      <c r="B29">
        <f ca="1"/>
        <v>15</v>
      </c>
      <c r="C29">
        <v>1991</v>
      </c>
      <c r="E29">
        <f ca="1"/>
        <v>17.370827453377942</v>
      </c>
      <c r="F29">
        <f ca="1"/>
        <v>49.953811250696731</v>
      </c>
      <c r="G29">
        <f ca="1"/>
        <v>56.143076804680462</v>
      </c>
      <c r="I29">
        <f ca="1"/>
        <v>17</v>
      </c>
      <c r="J29">
        <f ca="1"/>
        <v>31</v>
      </c>
      <c r="K29">
        <f ca="1"/>
        <v>8</v>
      </c>
    </row>
    <row r="30" spans="1:11" x14ac:dyDescent="0.35">
      <c r="A30">
        <v>29</v>
      </c>
      <c r="B30">
        <f ca="1"/>
        <v>31</v>
      </c>
      <c r="C30">
        <v>1991</v>
      </c>
      <c r="E30">
        <f ca="1"/>
        <v>49.000831404582598</v>
      </c>
      <c r="F30">
        <f ca="1"/>
        <v>49.475863796992343</v>
      </c>
      <c r="G30">
        <f ca="1"/>
        <v>50.713694509583362</v>
      </c>
      <c r="I30">
        <f ca="1"/>
        <v>34</v>
      </c>
      <c r="J30">
        <f ca="1"/>
        <v>12</v>
      </c>
      <c r="K30">
        <f ca="1"/>
        <v>82</v>
      </c>
    </row>
    <row r="31" spans="1:11" x14ac:dyDescent="0.35">
      <c r="A31">
        <v>30</v>
      </c>
      <c r="B31">
        <f ca="1"/>
        <v>22</v>
      </c>
      <c r="C31">
        <v>1991</v>
      </c>
      <c r="E31">
        <f ca="1"/>
        <v>39.741288128102497</v>
      </c>
      <c r="F31">
        <f ca="1"/>
        <v>60.690789192710241</v>
      </c>
      <c r="G31">
        <f ca="1"/>
        <v>89.978584264410344</v>
      </c>
      <c r="I31">
        <f ca="1"/>
        <v>47</v>
      </c>
      <c r="J31">
        <f ca="1"/>
        <v>78</v>
      </c>
      <c r="K31">
        <f ca="1"/>
        <v>23</v>
      </c>
    </row>
    <row r="32" spans="1:11" x14ac:dyDescent="0.35">
      <c r="A32">
        <v>31</v>
      </c>
      <c r="B32">
        <f ca="1"/>
        <v>30</v>
      </c>
      <c r="C32">
        <v>1991</v>
      </c>
      <c r="E32">
        <f ca="1"/>
        <v>55.245259392039301</v>
      </c>
      <c r="F32">
        <f ca="1"/>
        <v>45.631321781548465</v>
      </c>
      <c r="G32">
        <f ca="1"/>
        <v>31.740518489550027</v>
      </c>
      <c r="I32">
        <f ca="1"/>
        <v>76</v>
      </c>
      <c r="J32">
        <f ca="1"/>
        <v>71</v>
      </c>
      <c r="K32">
        <f ca="1"/>
        <v>14</v>
      </c>
    </row>
    <row r="33" spans="1:11" x14ac:dyDescent="0.35">
      <c r="A33">
        <v>32</v>
      </c>
      <c r="B33">
        <f ca="1"/>
        <v>34</v>
      </c>
      <c r="C33">
        <v>1991</v>
      </c>
      <c r="E33">
        <f ca="1"/>
        <v>11.287578520758956</v>
      </c>
      <c r="F33">
        <f ca="1"/>
        <v>39.268903112324537</v>
      </c>
      <c r="G33">
        <f ca="1"/>
        <v>82.131436455520046</v>
      </c>
      <c r="I33">
        <f ca="1"/>
        <v>7</v>
      </c>
      <c r="J33">
        <f ca="1"/>
        <v>86</v>
      </c>
      <c r="K33">
        <f ca="1"/>
        <v>79</v>
      </c>
    </row>
    <row r="34" spans="1:11" x14ac:dyDescent="0.35">
      <c r="A34">
        <v>33</v>
      </c>
      <c r="B34">
        <f ca="1"/>
        <v>30</v>
      </c>
      <c r="C34">
        <v>1991</v>
      </c>
      <c r="E34">
        <f ca="1"/>
        <v>14.789523233344553</v>
      </c>
      <c r="F34">
        <f ca="1"/>
        <v>87.449992735459716</v>
      </c>
      <c r="G34">
        <f ca="1"/>
        <v>45.610624996178771</v>
      </c>
      <c r="I34">
        <f ca="1"/>
        <v>23</v>
      </c>
      <c r="J34">
        <f ca="1"/>
        <v>11</v>
      </c>
      <c r="K34">
        <f ca="1"/>
        <v>56</v>
      </c>
    </row>
    <row r="35" spans="1:11" x14ac:dyDescent="0.35">
      <c r="A35">
        <v>34</v>
      </c>
      <c r="B35">
        <f ca="1"/>
        <v>9</v>
      </c>
      <c r="C35">
        <v>1991</v>
      </c>
      <c r="E35">
        <f ca="1"/>
        <v>61.030929478498692</v>
      </c>
      <c r="F35">
        <f ca="1"/>
        <v>73.407799373433363</v>
      </c>
      <c r="G35">
        <f ca="1"/>
        <v>78.228325879446658</v>
      </c>
      <c r="I35">
        <f ca="1"/>
        <v>33</v>
      </c>
      <c r="J35">
        <f ca="1"/>
        <v>89</v>
      </c>
      <c r="K35">
        <f ca="1"/>
        <v>22</v>
      </c>
    </row>
    <row r="36" spans="1:11" x14ac:dyDescent="0.35">
      <c r="A36">
        <v>35</v>
      </c>
      <c r="B36">
        <f ca="1"/>
        <v>33</v>
      </c>
      <c r="C36">
        <v>1991</v>
      </c>
      <c r="E36">
        <f ca="1"/>
        <v>52.146901235264835</v>
      </c>
      <c r="F36">
        <f ca="1"/>
        <v>17.096740514800061</v>
      </c>
      <c r="G36">
        <f ca="1"/>
        <v>73.402468832721169</v>
      </c>
      <c r="I36">
        <f ca="1"/>
        <v>88</v>
      </c>
      <c r="J36">
        <f ca="1"/>
        <v>51</v>
      </c>
      <c r="K36">
        <f ca="1"/>
        <v>27</v>
      </c>
    </row>
    <row r="37" spans="1:11" x14ac:dyDescent="0.35">
      <c r="A37">
        <v>36</v>
      </c>
      <c r="B37">
        <f ca="1"/>
        <v>14</v>
      </c>
      <c r="C37">
        <v>1991</v>
      </c>
      <c r="E37">
        <f ca="1"/>
        <v>11.912532356968882</v>
      </c>
      <c r="F37">
        <f ca="1"/>
        <v>44.42152549402914</v>
      </c>
      <c r="G37">
        <f ca="1"/>
        <v>15.488047943725363</v>
      </c>
      <c r="I37">
        <f ca="1"/>
        <v>76</v>
      </c>
      <c r="J37">
        <f ca="1"/>
        <v>25</v>
      </c>
      <c r="K37">
        <f ca="1"/>
        <v>67</v>
      </c>
    </row>
    <row r="38" spans="1:11" x14ac:dyDescent="0.35">
      <c r="A38">
        <v>37</v>
      </c>
      <c r="B38">
        <f ca="1"/>
        <v>8</v>
      </c>
      <c r="C38">
        <v>1991</v>
      </c>
      <c r="E38">
        <f ca="1"/>
        <v>42.253114015331647</v>
      </c>
      <c r="F38">
        <f ca="1"/>
        <v>51.75245756764707</v>
      </c>
      <c r="G38">
        <f ca="1"/>
        <v>35.585154665868899</v>
      </c>
      <c r="I38">
        <f ca="1"/>
        <v>49</v>
      </c>
      <c r="J38">
        <f ca="1"/>
        <v>67</v>
      </c>
      <c r="K38">
        <f ca="1"/>
        <v>38</v>
      </c>
    </row>
    <row r="39" spans="1:11" x14ac:dyDescent="0.35">
      <c r="A39">
        <v>38</v>
      </c>
      <c r="B39">
        <f ca="1"/>
        <v>33</v>
      </c>
      <c r="C39">
        <v>1991</v>
      </c>
      <c r="E39">
        <f ca="1"/>
        <v>21.145232032323449</v>
      </c>
      <c r="F39">
        <f ca="1"/>
        <v>45.938324872044504</v>
      </c>
      <c r="G39">
        <f ca="1"/>
        <v>80.883362501799439</v>
      </c>
      <c r="I39">
        <f ca="1"/>
        <v>46</v>
      </c>
      <c r="J39">
        <f ca="1"/>
        <v>5</v>
      </c>
      <c r="K39">
        <f ca="1"/>
        <v>57</v>
      </c>
    </row>
    <row r="40" spans="1:11" x14ac:dyDescent="0.35">
      <c r="A40">
        <v>39</v>
      </c>
      <c r="B40">
        <f ca="1"/>
        <v>18</v>
      </c>
      <c r="C40">
        <v>1991</v>
      </c>
      <c r="E40">
        <f ca="1"/>
        <v>71.47941793653726</v>
      </c>
      <c r="F40">
        <f ca="1"/>
        <v>23.192454143182488</v>
      </c>
      <c r="G40">
        <f ca="1"/>
        <v>16.488934186512395</v>
      </c>
      <c r="I40">
        <f ca="1"/>
        <v>86</v>
      </c>
      <c r="J40">
        <f ca="1"/>
        <v>60</v>
      </c>
      <c r="K40">
        <f ca="1"/>
        <v>32</v>
      </c>
    </row>
    <row r="41" spans="1:11" x14ac:dyDescent="0.35">
      <c r="A41">
        <v>40</v>
      </c>
      <c r="B41">
        <f ca="1"/>
        <v>15</v>
      </c>
      <c r="C41">
        <v>1991</v>
      </c>
      <c r="E41">
        <f ca="1"/>
        <v>72.405556318561977</v>
      </c>
      <c r="F41">
        <f ca="1"/>
        <v>51.388447216664574</v>
      </c>
      <c r="G41">
        <f ca="1"/>
        <v>35.759614538911677</v>
      </c>
      <c r="I41">
        <f ca="1"/>
        <v>0</v>
      </c>
      <c r="J41">
        <f ca="1"/>
        <v>37</v>
      </c>
      <c r="K41">
        <f ca="1"/>
        <v>2</v>
      </c>
    </row>
    <row r="42" spans="1:11" x14ac:dyDescent="0.35">
      <c r="A42">
        <v>41</v>
      </c>
      <c r="B42">
        <f ca="1"/>
        <v>32</v>
      </c>
      <c r="C42">
        <v>1991</v>
      </c>
      <c r="E42">
        <f ca="1"/>
        <v>20.483404445005206</v>
      </c>
      <c r="F42">
        <f ca="1"/>
        <v>86.265607601428897</v>
      </c>
      <c r="G42">
        <f ca="1"/>
        <v>26.952487078927888</v>
      </c>
      <c r="I42">
        <f ca="1"/>
        <v>14</v>
      </c>
      <c r="J42">
        <f ca="1"/>
        <v>81</v>
      </c>
      <c r="K42">
        <f ca="1"/>
        <v>73</v>
      </c>
    </row>
    <row r="43" spans="1:11" x14ac:dyDescent="0.35">
      <c r="A43">
        <v>42</v>
      </c>
      <c r="B43">
        <f ca="1"/>
        <v>15</v>
      </c>
      <c r="C43">
        <v>2001</v>
      </c>
      <c r="F43" cm="1">
        <f t="array" aca="1" ref="F43:G59" ca="1">_xlfn.RANDARRAY(17,2,10,97,FALSE)</f>
        <v>41.052341525280994</v>
      </c>
      <c r="G43">
        <f ca="1"/>
        <v>12.035371202821054</v>
      </c>
      <c r="J43" cm="1">
        <f t="array" aca="1" ref="J43:K59" ca="1">_xlfn.RANDARRAY(17,2,0,90,TRUE)</f>
        <v>24</v>
      </c>
      <c r="K43">
        <f ca="1"/>
        <v>88</v>
      </c>
    </row>
    <row r="44" spans="1:11" x14ac:dyDescent="0.35">
      <c r="A44">
        <v>43</v>
      </c>
      <c r="B44">
        <f ca="1"/>
        <v>7</v>
      </c>
      <c r="C44">
        <v>2001</v>
      </c>
      <c r="F44">
        <f ca="1"/>
        <v>81.083851040705952</v>
      </c>
      <c r="G44">
        <f ca="1"/>
        <v>47.313430190587084</v>
      </c>
      <c r="J44">
        <f ca="1"/>
        <v>27</v>
      </c>
      <c r="K44">
        <f ca="1"/>
        <v>61</v>
      </c>
    </row>
    <row r="45" spans="1:11" x14ac:dyDescent="0.35">
      <c r="A45">
        <v>44</v>
      </c>
      <c r="B45">
        <f ca="1"/>
        <v>29</v>
      </c>
      <c r="C45">
        <v>2001</v>
      </c>
      <c r="F45">
        <f ca="1"/>
        <v>75.314492367198653</v>
      </c>
      <c r="G45">
        <f ca="1"/>
        <v>27.954155131568342</v>
      </c>
      <c r="J45">
        <f ca="1"/>
        <v>66</v>
      </c>
      <c r="K45">
        <f ca="1"/>
        <v>22</v>
      </c>
    </row>
    <row r="46" spans="1:11" x14ac:dyDescent="0.35">
      <c r="A46">
        <v>45</v>
      </c>
      <c r="B46">
        <f ca="1"/>
        <v>31</v>
      </c>
      <c r="C46">
        <v>2001</v>
      </c>
      <c r="F46">
        <f ca="1"/>
        <v>94.139519574375868</v>
      </c>
      <c r="G46">
        <f ca="1"/>
        <v>37.066736840922161</v>
      </c>
      <c r="J46">
        <f ca="1"/>
        <v>89</v>
      </c>
      <c r="K46">
        <f ca="1"/>
        <v>86</v>
      </c>
    </row>
    <row r="47" spans="1:11" x14ac:dyDescent="0.35">
      <c r="A47">
        <v>46</v>
      </c>
      <c r="B47">
        <f ca="1"/>
        <v>12</v>
      </c>
      <c r="C47">
        <v>2001</v>
      </c>
      <c r="F47">
        <f ca="1"/>
        <v>23.561416015166685</v>
      </c>
      <c r="G47">
        <f ca="1"/>
        <v>20.963888443628235</v>
      </c>
      <c r="J47">
        <f ca="1"/>
        <v>40</v>
      </c>
      <c r="K47">
        <f ca="1"/>
        <v>57</v>
      </c>
    </row>
    <row r="48" spans="1:11" x14ac:dyDescent="0.35">
      <c r="A48">
        <v>47</v>
      </c>
      <c r="B48">
        <f ca="1"/>
        <v>8</v>
      </c>
      <c r="C48">
        <v>2001</v>
      </c>
      <c r="F48">
        <f ca="1"/>
        <v>52.672268381806916</v>
      </c>
      <c r="G48">
        <f ca="1"/>
        <v>27.891253598946562</v>
      </c>
      <c r="J48">
        <f ca="1"/>
        <v>40</v>
      </c>
      <c r="K48">
        <f ca="1"/>
        <v>22</v>
      </c>
    </row>
    <row r="49" spans="1:11" x14ac:dyDescent="0.35">
      <c r="A49">
        <v>48</v>
      </c>
      <c r="B49">
        <f ca="1"/>
        <v>2</v>
      </c>
      <c r="C49">
        <v>2001</v>
      </c>
      <c r="F49">
        <f ca="1"/>
        <v>53.167204341249459</v>
      </c>
      <c r="G49">
        <f ca="1"/>
        <v>81.011844958838552</v>
      </c>
      <c r="J49">
        <f ca="1"/>
        <v>63</v>
      </c>
      <c r="K49">
        <f ca="1"/>
        <v>41</v>
      </c>
    </row>
    <row r="50" spans="1:11" x14ac:dyDescent="0.35">
      <c r="A50">
        <v>49</v>
      </c>
      <c r="B50">
        <f ca="1"/>
        <v>33</v>
      </c>
      <c r="C50">
        <v>2001</v>
      </c>
      <c r="F50">
        <f ca="1"/>
        <v>12.889035223601866</v>
      </c>
      <c r="G50">
        <f ca="1"/>
        <v>25.638423794933757</v>
      </c>
      <c r="J50">
        <f ca="1"/>
        <v>79</v>
      </c>
      <c r="K50">
        <f ca="1"/>
        <v>64</v>
      </c>
    </row>
    <row r="51" spans="1:11" x14ac:dyDescent="0.35">
      <c r="A51">
        <v>50</v>
      </c>
      <c r="B51">
        <f ca="1"/>
        <v>34</v>
      </c>
      <c r="C51">
        <v>2001</v>
      </c>
      <c r="F51">
        <f ca="1"/>
        <v>61.638374343791284</v>
      </c>
      <c r="G51">
        <f ca="1"/>
        <v>94.26423957458492</v>
      </c>
      <c r="J51">
        <f ca="1"/>
        <v>29</v>
      </c>
      <c r="K51">
        <f ca="1"/>
        <v>19</v>
      </c>
    </row>
    <row r="52" spans="1:11" x14ac:dyDescent="0.35">
      <c r="A52">
        <v>51</v>
      </c>
      <c r="B52">
        <f ca="1"/>
        <v>1</v>
      </c>
      <c r="C52">
        <v>2001</v>
      </c>
      <c r="F52">
        <f ca="1"/>
        <v>52.164548457550737</v>
      </c>
      <c r="G52">
        <f ca="1"/>
        <v>10.956412874082844</v>
      </c>
      <c r="J52">
        <f ca="1"/>
        <v>67</v>
      </c>
      <c r="K52">
        <f ca="1"/>
        <v>56</v>
      </c>
    </row>
    <row r="53" spans="1:11" x14ac:dyDescent="0.35">
      <c r="A53">
        <v>52</v>
      </c>
      <c r="B53">
        <f ca="1"/>
        <v>31</v>
      </c>
      <c r="C53">
        <v>2001</v>
      </c>
      <c r="F53">
        <f ca="1"/>
        <v>66.039357095909196</v>
      </c>
      <c r="G53">
        <f ca="1"/>
        <v>90.191485624241011</v>
      </c>
      <c r="J53">
        <f ca="1"/>
        <v>16</v>
      </c>
      <c r="K53">
        <f ca="1"/>
        <v>86</v>
      </c>
    </row>
    <row r="54" spans="1:11" x14ac:dyDescent="0.35">
      <c r="A54">
        <v>53</v>
      </c>
      <c r="B54">
        <f ca="1"/>
        <v>31</v>
      </c>
      <c r="C54">
        <v>2001</v>
      </c>
      <c r="F54">
        <f ca="1"/>
        <v>93.975253492161457</v>
      </c>
      <c r="G54">
        <f ca="1"/>
        <v>21.712078316187885</v>
      </c>
      <c r="J54">
        <f ca="1"/>
        <v>57</v>
      </c>
      <c r="K54">
        <f ca="1"/>
        <v>0</v>
      </c>
    </row>
    <row r="55" spans="1:11" x14ac:dyDescent="0.35">
      <c r="A55">
        <v>54</v>
      </c>
      <c r="B55">
        <f ca="1"/>
        <v>8</v>
      </c>
      <c r="C55">
        <v>2001</v>
      </c>
      <c r="F55">
        <f ca="1"/>
        <v>72.977860704581545</v>
      </c>
      <c r="G55">
        <f ca="1"/>
        <v>32.263673491190701</v>
      </c>
      <c r="J55">
        <f ca="1"/>
        <v>49</v>
      </c>
      <c r="K55">
        <f ca="1"/>
        <v>38</v>
      </c>
    </row>
    <row r="56" spans="1:11" x14ac:dyDescent="0.35">
      <c r="A56">
        <v>55</v>
      </c>
      <c r="B56">
        <f ca="1"/>
        <v>30</v>
      </c>
      <c r="C56">
        <v>2001</v>
      </c>
      <c r="F56">
        <f ca="1"/>
        <v>55.868945992042995</v>
      </c>
      <c r="G56">
        <f ca="1"/>
        <v>83.910656916084548</v>
      </c>
      <c r="J56">
        <f ca="1"/>
        <v>60</v>
      </c>
      <c r="K56">
        <f ca="1"/>
        <v>43</v>
      </c>
    </row>
    <row r="57" spans="1:11" x14ac:dyDescent="0.35">
      <c r="A57">
        <v>56</v>
      </c>
      <c r="B57">
        <f ca="1"/>
        <v>31</v>
      </c>
      <c r="C57">
        <v>2001</v>
      </c>
      <c r="F57">
        <f ca="1"/>
        <v>33.994721133391891</v>
      </c>
      <c r="G57">
        <f ca="1"/>
        <v>47.734665849834769</v>
      </c>
      <c r="J57">
        <f ca="1"/>
        <v>74</v>
      </c>
      <c r="K57">
        <f ca="1"/>
        <v>46</v>
      </c>
    </row>
    <row r="58" spans="1:11" x14ac:dyDescent="0.35">
      <c r="A58">
        <v>57</v>
      </c>
      <c r="B58">
        <f ca="1"/>
        <v>14</v>
      </c>
      <c r="C58">
        <v>2001</v>
      </c>
      <c r="F58">
        <f ca="1"/>
        <v>73.778841243601548</v>
      </c>
      <c r="G58">
        <f ca="1"/>
        <v>41.305164424401269</v>
      </c>
      <c r="J58">
        <f ca="1"/>
        <v>67</v>
      </c>
      <c r="K58">
        <f ca="1"/>
        <v>3</v>
      </c>
    </row>
    <row r="59" spans="1:11" x14ac:dyDescent="0.35">
      <c r="A59">
        <v>58</v>
      </c>
      <c r="B59">
        <f ca="1"/>
        <v>8</v>
      </c>
      <c r="C59">
        <v>2001</v>
      </c>
      <c r="F59">
        <f ca="1"/>
        <v>88.349719078920657</v>
      </c>
      <c r="G59">
        <f ca="1"/>
        <v>73.956866937680473</v>
      </c>
      <c r="J59">
        <f ca="1"/>
        <v>37</v>
      </c>
      <c r="K59">
        <f ca="1"/>
        <v>24</v>
      </c>
    </row>
    <row r="60" spans="1:11" x14ac:dyDescent="0.35">
      <c r="A60">
        <v>59</v>
      </c>
      <c r="B60">
        <f ca="1"/>
        <v>20</v>
      </c>
      <c r="C60">
        <v>2021</v>
      </c>
      <c r="G60" cm="1">
        <f t="array" aca="1" ref="G60:G101" ca="1">_xlfn.RANDARRAY(42,1,10,97,FALSE)</f>
        <v>87.090860955921343</v>
      </c>
      <c r="K60" cm="1">
        <f t="array" aca="1" ref="K60:K101" ca="1">_xlfn.RANDARRAY(42,1,0,90,TRUE)</f>
        <v>82</v>
      </c>
    </row>
    <row r="61" spans="1:11" x14ac:dyDescent="0.35">
      <c r="A61">
        <v>60</v>
      </c>
      <c r="B61">
        <f ca="1"/>
        <v>20</v>
      </c>
      <c r="C61">
        <v>2021</v>
      </c>
      <c r="G61">
        <f ca="1"/>
        <v>18.145629957152593</v>
      </c>
      <c r="K61">
        <f ca="1"/>
        <v>57</v>
      </c>
    </row>
    <row r="62" spans="1:11" x14ac:dyDescent="0.35">
      <c r="A62">
        <v>61</v>
      </c>
      <c r="B62">
        <f ca="1"/>
        <v>2</v>
      </c>
      <c r="C62">
        <v>2021</v>
      </c>
      <c r="G62">
        <f ca="1"/>
        <v>31.003639191342771</v>
      </c>
      <c r="K62">
        <f ca="1"/>
        <v>61</v>
      </c>
    </row>
    <row r="63" spans="1:11" x14ac:dyDescent="0.35">
      <c r="A63">
        <v>62</v>
      </c>
      <c r="B63">
        <f ca="1"/>
        <v>19</v>
      </c>
      <c r="C63">
        <v>2021</v>
      </c>
      <c r="G63">
        <f ca="1"/>
        <v>72.079439704974277</v>
      </c>
      <c r="K63">
        <f ca="1"/>
        <v>2</v>
      </c>
    </row>
    <row r="64" spans="1:11" x14ac:dyDescent="0.35">
      <c r="A64">
        <v>63</v>
      </c>
      <c r="B64">
        <f ca="1"/>
        <v>32</v>
      </c>
      <c r="C64">
        <v>2021</v>
      </c>
      <c r="G64">
        <f ca="1"/>
        <v>60.909749335965586</v>
      </c>
      <c r="K64">
        <f ca="1"/>
        <v>86</v>
      </c>
    </row>
    <row r="65" spans="1:11" x14ac:dyDescent="0.35">
      <c r="A65">
        <v>64</v>
      </c>
      <c r="B65">
        <f ca="1"/>
        <v>26</v>
      </c>
      <c r="C65">
        <v>2021</v>
      </c>
      <c r="G65">
        <f ca="1"/>
        <v>41.335961906165224</v>
      </c>
      <c r="K65">
        <f ca="1"/>
        <v>23</v>
      </c>
    </row>
    <row r="66" spans="1:11" x14ac:dyDescent="0.35">
      <c r="A66">
        <v>65</v>
      </c>
      <c r="B66">
        <f ca="1"/>
        <v>13</v>
      </c>
      <c r="C66">
        <v>2021</v>
      </c>
      <c r="G66">
        <f ca="1"/>
        <v>30.355820719538599</v>
      </c>
      <c r="K66">
        <f ca="1"/>
        <v>40</v>
      </c>
    </row>
    <row r="67" spans="1:11" x14ac:dyDescent="0.35">
      <c r="A67">
        <v>66</v>
      </c>
      <c r="B67">
        <f ca="1"/>
        <v>2</v>
      </c>
      <c r="C67">
        <v>2021</v>
      </c>
      <c r="G67">
        <f ca="1"/>
        <v>43.72304094731706</v>
      </c>
      <c r="K67">
        <f ca="1"/>
        <v>7</v>
      </c>
    </row>
    <row r="68" spans="1:11" x14ac:dyDescent="0.35">
      <c r="A68">
        <v>67</v>
      </c>
      <c r="B68">
        <f ca="1"/>
        <v>6</v>
      </c>
      <c r="C68">
        <v>2021</v>
      </c>
      <c r="G68">
        <f ca="1"/>
        <v>30.93034813097934</v>
      </c>
      <c r="K68">
        <f ca="1"/>
        <v>17</v>
      </c>
    </row>
    <row r="69" spans="1:11" x14ac:dyDescent="0.35">
      <c r="A69">
        <v>68</v>
      </c>
      <c r="B69">
        <f ca="1"/>
        <v>22</v>
      </c>
      <c r="C69">
        <v>2021</v>
      </c>
      <c r="G69">
        <f ca="1"/>
        <v>29.09465711142478</v>
      </c>
      <c r="K69">
        <f ca="1"/>
        <v>61</v>
      </c>
    </row>
    <row r="70" spans="1:11" x14ac:dyDescent="0.35">
      <c r="A70">
        <v>69</v>
      </c>
      <c r="B70">
        <f ca="1"/>
        <v>35</v>
      </c>
      <c r="C70">
        <v>2021</v>
      </c>
      <c r="G70">
        <f ca="1"/>
        <v>40.687083583688107</v>
      </c>
      <c r="K70">
        <f ca="1"/>
        <v>21</v>
      </c>
    </row>
    <row r="71" spans="1:11" x14ac:dyDescent="0.35">
      <c r="A71">
        <v>70</v>
      </c>
      <c r="B71">
        <f ca="1"/>
        <v>33</v>
      </c>
      <c r="C71">
        <v>2021</v>
      </c>
      <c r="G71">
        <f ca="1"/>
        <v>26.216545547335343</v>
      </c>
      <c r="K71">
        <f ca="1"/>
        <v>88</v>
      </c>
    </row>
    <row r="72" spans="1:11" x14ac:dyDescent="0.35">
      <c r="A72">
        <v>71</v>
      </c>
      <c r="B72">
        <f ca="1"/>
        <v>31</v>
      </c>
      <c r="C72">
        <v>2021</v>
      </c>
      <c r="G72">
        <f ca="1"/>
        <v>19.417451376375723</v>
      </c>
      <c r="K72">
        <f ca="1"/>
        <v>47</v>
      </c>
    </row>
    <row r="73" spans="1:11" x14ac:dyDescent="0.35">
      <c r="A73">
        <v>72</v>
      </c>
      <c r="B73">
        <f ca="1"/>
        <v>25</v>
      </c>
      <c r="C73">
        <v>2021</v>
      </c>
      <c r="G73">
        <f ca="1"/>
        <v>45.228124543127421</v>
      </c>
      <c r="K73">
        <f ca="1"/>
        <v>5</v>
      </c>
    </row>
    <row r="74" spans="1:11" x14ac:dyDescent="0.35">
      <c r="A74">
        <v>73</v>
      </c>
      <c r="B74">
        <f ca="1"/>
        <v>28</v>
      </c>
      <c r="C74">
        <v>2021</v>
      </c>
      <c r="G74">
        <f ca="1"/>
        <v>59.347562757175808</v>
      </c>
      <c r="K74">
        <f ca="1"/>
        <v>53</v>
      </c>
    </row>
    <row r="75" spans="1:11" x14ac:dyDescent="0.35">
      <c r="A75">
        <v>74</v>
      </c>
      <c r="B75">
        <f ca="1"/>
        <v>35</v>
      </c>
      <c r="C75">
        <v>2021</v>
      </c>
      <c r="G75">
        <f ca="1"/>
        <v>68.084145411460128</v>
      </c>
      <c r="K75">
        <f ca="1"/>
        <v>77</v>
      </c>
    </row>
    <row r="76" spans="1:11" x14ac:dyDescent="0.35">
      <c r="A76">
        <v>75</v>
      </c>
      <c r="B76">
        <f ca="1"/>
        <v>20</v>
      </c>
      <c r="C76">
        <v>2021</v>
      </c>
      <c r="G76">
        <f ca="1"/>
        <v>82.272259442562898</v>
      </c>
      <c r="K76">
        <f ca="1"/>
        <v>65</v>
      </c>
    </row>
    <row r="77" spans="1:11" x14ac:dyDescent="0.35">
      <c r="A77">
        <v>76</v>
      </c>
      <c r="B77">
        <f ca="1"/>
        <v>4</v>
      </c>
      <c r="C77">
        <v>2021</v>
      </c>
      <c r="G77">
        <f ca="1"/>
        <v>31.319019622089527</v>
      </c>
      <c r="K77">
        <f ca="1"/>
        <v>80</v>
      </c>
    </row>
    <row r="78" spans="1:11" x14ac:dyDescent="0.35">
      <c r="A78">
        <v>77</v>
      </c>
      <c r="B78">
        <f ca="1"/>
        <v>1</v>
      </c>
      <c r="C78">
        <v>2021</v>
      </c>
      <c r="G78">
        <f ca="1"/>
        <v>62.753738454358555</v>
      </c>
      <c r="K78">
        <f ca="1"/>
        <v>18</v>
      </c>
    </row>
    <row r="79" spans="1:11" x14ac:dyDescent="0.35">
      <c r="A79">
        <v>78</v>
      </c>
      <c r="B79">
        <f ca="1"/>
        <v>7</v>
      </c>
      <c r="C79">
        <v>2021</v>
      </c>
      <c r="G79">
        <f ca="1"/>
        <v>56.794315509171895</v>
      </c>
      <c r="K79">
        <f ca="1"/>
        <v>12</v>
      </c>
    </row>
    <row r="80" spans="1:11" x14ac:dyDescent="0.35">
      <c r="A80">
        <v>79</v>
      </c>
      <c r="B80">
        <f ca="1"/>
        <v>10</v>
      </c>
      <c r="C80">
        <v>2021</v>
      </c>
      <c r="G80">
        <f ca="1"/>
        <v>78.49651472740922</v>
      </c>
      <c r="K80">
        <f ca="1"/>
        <v>49</v>
      </c>
    </row>
    <row r="81" spans="1:11" x14ac:dyDescent="0.35">
      <c r="A81">
        <v>80</v>
      </c>
      <c r="B81">
        <f ca="1"/>
        <v>23</v>
      </c>
      <c r="C81">
        <v>2021</v>
      </c>
      <c r="G81">
        <f ca="1"/>
        <v>83.669307584148527</v>
      </c>
      <c r="K81">
        <f ca="1"/>
        <v>69</v>
      </c>
    </row>
    <row r="82" spans="1:11" x14ac:dyDescent="0.35">
      <c r="A82">
        <v>81</v>
      </c>
      <c r="B82">
        <f ca="1"/>
        <v>21</v>
      </c>
      <c r="C82">
        <v>2021</v>
      </c>
      <c r="G82">
        <f ca="1"/>
        <v>82.30277923693275</v>
      </c>
      <c r="K82">
        <f ca="1"/>
        <v>19</v>
      </c>
    </row>
    <row r="83" spans="1:11" x14ac:dyDescent="0.35">
      <c r="A83">
        <v>82</v>
      </c>
      <c r="B83">
        <f ca="1"/>
        <v>1</v>
      </c>
      <c r="C83">
        <v>2021</v>
      </c>
      <c r="G83">
        <f ca="1"/>
        <v>79.295501731556413</v>
      </c>
      <c r="K83">
        <f ca="1"/>
        <v>6</v>
      </c>
    </row>
    <row r="84" spans="1:11" x14ac:dyDescent="0.35">
      <c r="A84">
        <v>83</v>
      </c>
      <c r="B84">
        <f ca="1"/>
        <v>21</v>
      </c>
      <c r="C84">
        <v>2021</v>
      </c>
      <c r="G84">
        <f ca="1"/>
        <v>12.087954351729195</v>
      </c>
      <c r="K84">
        <f ca="1"/>
        <v>47</v>
      </c>
    </row>
    <row r="85" spans="1:11" x14ac:dyDescent="0.35">
      <c r="A85">
        <v>84</v>
      </c>
      <c r="B85">
        <f ca="1"/>
        <v>17</v>
      </c>
      <c r="C85">
        <v>2021</v>
      </c>
      <c r="G85">
        <f ca="1"/>
        <v>79.585993188944485</v>
      </c>
      <c r="K85">
        <f ca="1"/>
        <v>75</v>
      </c>
    </row>
    <row r="86" spans="1:11" x14ac:dyDescent="0.35">
      <c r="A86">
        <v>85</v>
      </c>
      <c r="B86">
        <f ca="1"/>
        <v>24</v>
      </c>
      <c r="C86">
        <v>2021</v>
      </c>
      <c r="G86">
        <f ca="1"/>
        <v>79.963293080330004</v>
      </c>
      <c r="K86">
        <f ca="1"/>
        <v>45</v>
      </c>
    </row>
    <row r="87" spans="1:11" x14ac:dyDescent="0.35">
      <c r="A87">
        <v>86</v>
      </c>
      <c r="B87">
        <f ca="1"/>
        <v>32</v>
      </c>
      <c r="C87">
        <v>2021</v>
      </c>
      <c r="G87">
        <f ca="1"/>
        <v>77.471200114011509</v>
      </c>
      <c r="K87">
        <f ca="1"/>
        <v>51</v>
      </c>
    </row>
    <row r="88" spans="1:11" x14ac:dyDescent="0.35">
      <c r="A88">
        <v>87</v>
      </c>
      <c r="B88">
        <f ca="1"/>
        <v>22</v>
      </c>
      <c r="C88">
        <v>2021</v>
      </c>
      <c r="G88">
        <f ca="1"/>
        <v>87.225560514093118</v>
      </c>
      <c r="K88">
        <f ca="1"/>
        <v>67</v>
      </c>
    </row>
    <row r="89" spans="1:11" x14ac:dyDescent="0.35">
      <c r="A89">
        <v>88</v>
      </c>
      <c r="B89">
        <f ca="1"/>
        <v>26</v>
      </c>
      <c r="C89">
        <v>2021</v>
      </c>
      <c r="G89">
        <f ca="1"/>
        <v>92.104102695819762</v>
      </c>
      <c r="K89">
        <f ca="1"/>
        <v>26</v>
      </c>
    </row>
    <row r="90" spans="1:11" x14ac:dyDescent="0.35">
      <c r="A90">
        <v>89</v>
      </c>
      <c r="B90">
        <f ca="1"/>
        <v>18</v>
      </c>
      <c r="C90">
        <v>2021</v>
      </c>
      <c r="G90">
        <f ca="1"/>
        <v>91.473724474314821</v>
      </c>
      <c r="K90">
        <f ca="1"/>
        <v>14</v>
      </c>
    </row>
    <row r="91" spans="1:11" x14ac:dyDescent="0.35">
      <c r="A91">
        <v>90</v>
      </c>
      <c r="B91">
        <f ca="1"/>
        <v>32</v>
      </c>
      <c r="C91">
        <v>2021</v>
      </c>
      <c r="G91">
        <f ca="1"/>
        <v>77.457200091436306</v>
      </c>
      <c r="K91">
        <f ca="1"/>
        <v>38</v>
      </c>
    </row>
    <row r="92" spans="1:11" x14ac:dyDescent="0.35">
      <c r="A92">
        <v>91</v>
      </c>
      <c r="B92">
        <f ca="1"/>
        <v>22</v>
      </c>
      <c r="C92">
        <v>2021</v>
      </c>
      <c r="G92">
        <f ca="1"/>
        <v>35.735286922959958</v>
      </c>
      <c r="K92">
        <f ca="1"/>
        <v>6</v>
      </c>
    </row>
    <row r="93" spans="1:11" x14ac:dyDescent="0.35">
      <c r="A93">
        <v>92</v>
      </c>
      <c r="B93">
        <f ca="1"/>
        <v>33</v>
      </c>
      <c r="C93">
        <v>2021</v>
      </c>
      <c r="G93">
        <f ca="1"/>
        <v>53.492813307117203</v>
      </c>
      <c r="K93">
        <f ca="1"/>
        <v>38</v>
      </c>
    </row>
    <row r="94" spans="1:11" x14ac:dyDescent="0.35">
      <c r="A94">
        <v>93</v>
      </c>
      <c r="B94">
        <f ca="1"/>
        <v>31</v>
      </c>
      <c r="C94">
        <v>2021</v>
      </c>
      <c r="G94">
        <f ca="1"/>
        <v>58.166407735449056</v>
      </c>
      <c r="K94">
        <f ca="1"/>
        <v>84</v>
      </c>
    </row>
    <row r="95" spans="1:11" x14ac:dyDescent="0.35">
      <c r="A95">
        <v>94</v>
      </c>
      <c r="B95">
        <f ca="1"/>
        <v>17</v>
      </c>
      <c r="C95">
        <v>2021</v>
      </c>
      <c r="G95">
        <f ca="1"/>
        <v>70.062655858436386</v>
      </c>
      <c r="K95">
        <f ca="1"/>
        <v>86</v>
      </c>
    </row>
    <row r="96" spans="1:11" x14ac:dyDescent="0.35">
      <c r="A96">
        <v>95</v>
      </c>
      <c r="B96">
        <f ca="1"/>
        <v>27</v>
      </c>
      <c r="C96">
        <v>2021</v>
      </c>
      <c r="G96">
        <f ca="1"/>
        <v>20.607279493148326</v>
      </c>
      <c r="K96">
        <f ca="1"/>
        <v>21</v>
      </c>
    </row>
    <row r="97" spans="1:11" x14ac:dyDescent="0.35">
      <c r="A97">
        <v>96</v>
      </c>
      <c r="B97">
        <f ca="1"/>
        <v>5</v>
      </c>
      <c r="C97">
        <v>2021</v>
      </c>
      <c r="G97">
        <f ca="1"/>
        <v>43.627561026965552</v>
      </c>
      <c r="K97">
        <f ca="1"/>
        <v>50</v>
      </c>
    </row>
    <row r="98" spans="1:11" x14ac:dyDescent="0.35">
      <c r="A98">
        <v>97</v>
      </c>
      <c r="B98">
        <f ca="1"/>
        <v>11</v>
      </c>
      <c r="C98">
        <v>2021</v>
      </c>
      <c r="G98">
        <f ca="1"/>
        <v>53.868377176956628</v>
      </c>
      <c r="K98">
        <f ca="1"/>
        <v>82</v>
      </c>
    </row>
    <row r="99" spans="1:11" x14ac:dyDescent="0.35">
      <c r="A99">
        <v>98</v>
      </c>
      <c r="B99">
        <f ca="1"/>
        <v>7</v>
      </c>
      <c r="C99">
        <v>2021</v>
      </c>
      <c r="G99">
        <f ca="1"/>
        <v>77.0322411720106</v>
      </c>
      <c r="K99">
        <f ca="1"/>
        <v>2</v>
      </c>
    </row>
    <row r="100" spans="1:11" x14ac:dyDescent="0.35">
      <c r="A100">
        <v>99</v>
      </c>
      <c r="B100">
        <f ca="1"/>
        <v>30</v>
      </c>
      <c r="C100">
        <v>2021</v>
      </c>
      <c r="G100">
        <f ca="1"/>
        <v>30.834635204890034</v>
      </c>
      <c r="K100">
        <f ca="1"/>
        <v>5</v>
      </c>
    </row>
    <row r="101" spans="1:11" x14ac:dyDescent="0.35">
      <c r="A101">
        <v>100</v>
      </c>
      <c r="B101">
        <f ca="1"/>
        <v>11</v>
      </c>
      <c r="C101">
        <v>2021</v>
      </c>
      <c r="G101">
        <f ca="1"/>
        <v>35.09276783403584</v>
      </c>
      <c r="K101">
        <f ca="1"/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Tree data</vt:lpstr>
      <vt:lpstr>Species code</vt:lpstr>
      <vt:lpstr>Data description</vt:lpstr>
      <vt:lpstr> Random Generator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Chan-Henry</dc:creator>
  <cp:lastModifiedBy>Hannah Chan-Henry</cp:lastModifiedBy>
  <dcterms:created xsi:type="dcterms:W3CDTF">2026-02-18T09:33:23Z</dcterms:created>
  <dcterms:modified xsi:type="dcterms:W3CDTF">2026-02-18T10:15:41Z</dcterms:modified>
</cp:coreProperties>
</file>